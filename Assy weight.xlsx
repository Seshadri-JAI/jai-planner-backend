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 Drive\9. Software Projects\JAI Planner\"/>
    </mc:Choice>
  </mc:AlternateContent>
  <bookViews>
    <workbookView xWindow="0" yWindow="0" windowWidth="23040" windowHeight="9384"/>
  </bookViews>
  <sheets>
    <sheet name="Month" sheetId="1" r:id="rId1"/>
  </sheets>
  <definedNames>
    <definedName name="_xlnm._FilterDatabase" localSheetId="0" hidden="1">Month!$A$1:$D$977</definedName>
    <definedName name="_xlnm.Print_Area" localSheetId="0">Month!$C$1:$C$976</definedName>
    <definedName name="_xlnm.Print_Titles" localSheetId="0">Month!$1:$1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2" i="1" l="1"/>
  <c r="D538" i="1"/>
  <c r="B420" i="1"/>
  <c r="B419" i="1"/>
  <c r="B418" i="1"/>
  <c r="B415" i="1"/>
  <c r="B414" i="1"/>
  <c r="B413" i="1"/>
  <c r="B412" i="1"/>
  <c r="B411" i="1"/>
  <c r="B410" i="1"/>
  <c r="D374" i="1"/>
  <c r="D334" i="1"/>
  <c r="B330" i="1"/>
  <c r="B329" i="1"/>
  <c r="D290" i="1"/>
  <c r="D275" i="1"/>
  <c r="D205" i="1"/>
  <c r="D184" i="1"/>
  <c r="D157" i="1"/>
  <c r="D144" i="1"/>
  <c r="D135" i="1"/>
  <c r="D125" i="1"/>
  <c r="D121" i="1"/>
  <c r="D119" i="1"/>
  <c r="D117" i="1"/>
  <c r="D113" i="1"/>
  <c r="D107" i="1"/>
  <c r="D99" i="1"/>
  <c r="D97" i="1"/>
  <c r="D95" i="1"/>
  <c r="D88" i="1"/>
  <c r="D85" i="1"/>
  <c r="D78" i="1"/>
  <c r="D76" i="1"/>
  <c r="D71" i="1"/>
  <c r="D69" i="1"/>
  <c r="D67" i="1"/>
  <c r="D28" i="1"/>
  <c r="D16" i="1"/>
  <c r="D15" i="1"/>
  <c r="D122" i="1" l="1"/>
  <c r="D10" i="1"/>
  <c r="D56" i="1"/>
  <c r="D80" i="1"/>
  <c r="D128" i="1"/>
  <c r="D12" i="1"/>
  <c r="D14" i="1"/>
  <c r="D26" i="1"/>
  <c r="D31" i="1"/>
  <c r="D38" i="1"/>
  <c r="D273" i="1"/>
  <c r="D415" i="1"/>
  <c r="D549" i="1"/>
  <c r="D579" i="1"/>
</calcChain>
</file>

<file path=xl/sharedStrings.xml><?xml version="1.0" encoding="utf-8"?>
<sst xmlns="http://schemas.openxmlformats.org/spreadsheetml/2006/main" count="2606" uniqueCount="1519">
  <si>
    <t>A. LEYLAND</t>
  </si>
  <si>
    <t>4556110 CHEETAH FRONT.</t>
  </si>
  <si>
    <t>B3118705</t>
  </si>
  <si>
    <t>CHEETAH FRONT VE</t>
  </si>
  <si>
    <t>F4556210  VIKING FRONT</t>
  </si>
  <si>
    <t>B3118704</t>
  </si>
  <si>
    <t>F4556010 PASSENGER REAR</t>
  </si>
  <si>
    <t>B3217501</t>
  </si>
  <si>
    <t>F4556910 COMET TRUCK FRONT</t>
  </si>
  <si>
    <t>B3118706</t>
  </si>
  <si>
    <t>F4556810 COMET TRUCK REAR</t>
  </si>
  <si>
    <t>B3217504</t>
  </si>
  <si>
    <t>4505910COMET FRONT VE</t>
  </si>
  <si>
    <t>B3118707</t>
  </si>
  <si>
    <t>4508110 COMET REAR VE</t>
  </si>
  <si>
    <t>B3217505</t>
  </si>
  <si>
    <t>B3202601</t>
  </si>
  <si>
    <t>4557110 - 222 VIKING LH</t>
  </si>
  <si>
    <t>B3217503</t>
  </si>
  <si>
    <t>4557110 - 222 VIKING RH</t>
  </si>
  <si>
    <t>B3218302</t>
  </si>
  <si>
    <t xml:space="preserve">450 8210  2516 REAR SPRING </t>
  </si>
  <si>
    <t>B3295404</t>
  </si>
  <si>
    <t>4512610 - 2214 UPGRADED VEHICLE REAR</t>
  </si>
  <si>
    <t>4512710 - UPGRADED MAV FRONT</t>
  </si>
  <si>
    <t>B3205503</t>
  </si>
  <si>
    <t>B3106801</t>
  </si>
  <si>
    <t>4507710 - 222"WB VIKING FRONT</t>
  </si>
  <si>
    <t>F4507710</t>
  </si>
  <si>
    <t>4509810 REAR LOCATING LINK</t>
  </si>
  <si>
    <t>4514410 REAR LOCATING LINK</t>
  </si>
  <si>
    <t>4509810 LC REAR LOCATING LINK</t>
  </si>
  <si>
    <t>4509810 LC</t>
  </si>
  <si>
    <t>4511610 - 709 FRONT</t>
  </si>
  <si>
    <t>B3118903</t>
  </si>
  <si>
    <t>4511710 - 709 FRONT</t>
  </si>
  <si>
    <t>B3118904</t>
  </si>
  <si>
    <t>4558410 AL 709 REAR LH</t>
  </si>
  <si>
    <t>B3217602</t>
  </si>
  <si>
    <t>4558410 AL 709 REAR RH</t>
  </si>
  <si>
    <t>B3217603</t>
  </si>
  <si>
    <t>CARGO 814 FRONT SPRING</t>
  </si>
  <si>
    <t>B3125501</t>
  </si>
  <si>
    <t>B3125502</t>
  </si>
  <si>
    <t>CARGO 912-BUS REAR</t>
  </si>
  <si>
    <t>X4509910</t>
  </si>
  <si>
    <t>4507810 AL 909 REAR LH</t>
  </si>
  <si>
    <t>B3217703</t>
  </si>
  <si>
    <t>4557910 AL 909 REAR RH</t>
  </si>
  <si>
    <t>B3217704</t>
  </si>
  <si>
    <t>4541210 AL SUSPENSION LINK</t>
  </si>
  <si>
    <t>3295502 STALLION LRV SPRING</t>
  </si>
  <si>
    <t>B3295502</t>
  </si>
  <si>
    <t>4513210 STALLION CARGO MARK III</t>
  </si>
  <si>
    <t>B3194401</t>
  </si>
  <si>
    <t>4512410 ARMY VEHICLE FRONT</t>
  </si>
  <si>
    <t>B3107201</t>
  </si>
  <si>
    <t>4512510 ARMY VEHICLE REAR</t>
  </si>
  <si>
    <t>B3205901</t>
  </si>
  <si>
    <t>B5F07701- STALLION MPV 4X4 FRONT SPRING ASSY</t>
  </si>
  <si>
    <t>B5F07701</t>
  </si>
  <si>
    <t>3206001 - LP1510-VE FRONT</t>
  </si>
  <si>
    <t>4510810 (Multi 2710-VE Front)</t>
  </si>
  <si>
    <t>B3106803</t>
  </si>
  <si>
    <t>4510910 (Multi 2610-VE Rear)</t>
  </si>
  <si>
    <t>B3205513</t>
  </si>
  <si>
    <t>4513010-TANKER FRT</t>
  </si>
  <si>
    <t>B3109101</t>
  </si>
  <si>
    <t>4513110-TANKER RR</t>
  </si>
  <si>
    <t>B3207201</t>
  </si>
  <si>
    <t>VIKING FRONT VE</t>
  </si>
  <si>
    <t>4510710 PASSENGER REAR VE</t>
  </si>
  <si>
    <t>4558010 - COMET 810 (STAG BUS)</t>
  </si>
  <si>
    <t>B3101901</t>
  </si>
  <si>
    <t>4508910 - 812 BUS REAR</t>
  </si>
  <si>
    <t>B3203901</t>
  </si>
  <si>
    <t>601 - STAG FRONT SPRING</t>
  </si>
  <si>
    <t>B5F04503</t>
  </si>
  <si>
    <t>4513510 - E-COMMET FRONT</t>
  </si>
  <si>
    <t>B3103201</t>
  </si>
  <si>
    <t>12M BUS FRONT</t>
  </si>
  <si>
    <t>F4510210</t>
  </si>
  <si>
    <t>JPSL063 - 6x2 TRACTOR REAR</t>
  </si>
  <si>
    <t>JPSL063</t>
  </si>
  <si>
    <t>E-COMMET 1109 FRONT</t>
  </si>
  <si>
    <t>E-COMMET 1112 FRONT</t>
  </si>
  <si>
    <t>4506410 - STALLION 6X6 MARK III</t>
  </si>
  <si>
    <t>4513710 SLF BUS FRONT</t>
  </si>
  <si>
    <t>FD300410 REAR FV TIPPER SPRING</t>
  </si>
  <si>
    <t>FD300410</t>
  </si>
  <si>
    <t>B6Y01706</t>
  </si>
  <si>
    <t>3118 LIFT AXLE RR SPG ASSY</t>
  </si>
  <si>
    <t>FTW06810</t>
  </si>
  <si>
    <t>781 - S REAR SPRING ASSY</t>
  </si>
  <si>
    <t>B6Y08801</t>
  </si>
  <si>
    <t>765 - REAR FV TIPPER SPRING</t>
  </si>
  <si>
    <t>B6Y06803</t>
  </si>
  <si>
    <t>B6Y06802 (N)</t>
  </si>
  <si>
    <t>X4508310 PANTHER LUXUARY REAR LOCATING LINK ASSY</t>
  </si>
  <si>
    <t>X4508310</t>
  </si>
  <si>
    <t>FDVP Mock-Up VEHICLE</t>
  </si>
  <si>
    <t>Mock-Up</t>
  </si>
  <si>
    <t>LOCATING LINK REAR</t>
  </si>
  <si>
    <t>4506910 WEWLER-4" FRONT</t>
  </si>
  <si>
    <t>4507010 WEWLER-4" REAR</t>
  </si>
  <si>
    <t>F9F00115 - E COMET 1112 REAR SUSPENSION</t>
  </si>
  <si>
    <t>B6Y00701 - LH</t>
  </si>
  <si>
    <t>F9F00415 - E COMET 1112 REAR SUSPENSION</t>
  </si>
  <si>
    <t>B6Y00702 - RH</t>
  </si>
  <si>
    <t>E COMET 912 FT SUSPENSION SEMI ELLIPTIC FR</t>
  </si>
  <si>
    <t>B5F01001</t>
  </si>
  <si>
    <t>B5F01002</t>
  </si>
  <si>
    <t>E COMET 1112 SMART &amp; 912 STRONG REAR SPRING</t>
  </si>
  <si>
    <t>B6Y01601</t>
  </si>
  <si>
    <t>B6Y01602</t>
  </si>
  <si>
    <t>E-COMET 1112 SMART 912 STRONG FRONT SPRING ASSY</t>
  </si>
  <si>
    <t>B5F01901</t>
  </si>
  <si>
    <t>650 - E-COMET 1112 SMART 912 STRONG FRONT SPRING ASSY</t>
  </si>
  <si>
    <t>B5F01902</t>
  </si>
  <si>
    <t>E-COMET 912 FRONT SHACKLE SUSPENSION SPRING ASSY</t>
  </si>
  <si>
    <t>B5F01701</t>
  </si>
  <si>
    <t>E COMET 912SM REAR SUSPENSION</t>
  </si>
  <si>
    <t>B6Y02801</t>
  </si>
  <si>
    <t>B6Y02802</t>
  </si>
  <si>
    <t>E COMET 1112 SMART &amp; 912 STRONG REAR</t>
  </si>
  <si>
    <t>B6Y02701</t>
  </si>
  <si>
    <t>B6Y02702</t>
  </si>
  <si>
    <t>663 - CARGO 912 FRONT</t>
  </si>
  <si>
    <t>B3125103</t>
  </si>
  <si>
    <t>B3125104</t>
  </si>
  <si>
    <t>649 - ECOMET 1412FRONT SPRING ASSY</t>
  </si>
  <si>
    <t>B5F06501</t>
  </si>
  <si>
    <t>105-FOR ECOMET 17.5T FRONT SPRING ASSY</t>
  </si>
  <si>
    <t>MB321051</t>
  </si>
  <si>
    <t>1026-FOR ECOMET 17.5T REAR SPRING ASSY</t>
  </si>
  <si>
    <t>MB334065</t>
  </si>
  <si>
    <t>1033- FOR MBP CAR CARRIER REAR SPRING</t>
  </si>
  <si>
    <t>MB334067</t>
  </si>
  <si>
    <t>MB334068</t>
  </si>
  <si>
    <t>1022-FOR MAV RMC 6X4 FRONT SPRING ASSY</t>
  </si>
  <si>
    <t>MB321049</t>
  </si>
  <si>
    <t>648 - E COMET 1412 REAR SPRING</t>
  </si>
  <si>
    <t>B6Y05301</t>
  </si>
  <si>
    <t>B6Y05302</t>
  </si>
  <si>
    <t>B6Y05301 (N)</t>
  </si>
  <si>
    <t>ECOMET 1012 REAR SPRING</t>
  </si>
  <si>
    <t>B6Y02703</t>
  </si>
  <si>
    <t>ECOMET 1214 REAR SPRING</t>
  </si>
  <si>
    <t>B6Y05306</t>
  </si>
  <si>
    <t>651 - E-COMET 912 FRONT SHACKLE SUSPENSION SPRING ASSY</t>
  </si>
  <si>
    <t>B5F01702</t>
  </si>
  <si>
    <t>652 - E-COMET 1112 FRONT SPRING ASSY</t>
  </si>
  <si>
    <t>B5F01102</t>
  </si>
  <si>
    <t>786 - NGICV 9.6T REAR SPRING ASSY</t>
  </si>
  <si>
    <t>B6X02401</t>
  </si>
  <si>
    <t>B6X02402</t>
  </si>
  <si>
    <t>787 - NGICV 9.6T REAR SPRING ASSY</t>
  </si>
  <si>
    <t>B6X02501</t>
  </si>
  <si>
    <t>B6X02502</t>
  </si>
  <si>
    <t>788 - NGICV 12.6T REAR SPRING ASSY</t>
  </si>
  <si>
    <t>B6X02603</t>
  </si>
  <si>
    <t>B6X02604</t>
  </si>
  <si>
    <t>613 - 12M FE SLF WEVELLER FR PARABOLIC SPRING</t>
  </si>
  <si>
    <t>FHE04400</t>
  </si>
  <si>
    <t>WEWLER-4" REAR SPRING</t>
  </si>
  <si>
    <t>FD300215</t>
  </si>
  <si>
    <t>Stag Goods Springs</t>
  </si>
  <si>
    <t>B3194101 - TFF Front</t>
  </si>
  <si>
    <t>X4505210</t>
  </si>
  <si>
    <t>760 - STALLION 4X4 WITH BOSS CABIN FRONT SPRING</t>
  </si>
  <si>
    <t>B5E03801</t>
  </si>
  <si>
    <t xml:space="preserve">X4510910 - 4921H TRACTOR REAR SPRING </t>
  </si>
  <si>
    <t>4513410 - 12M GOODS REAR</t>
  </si>
  <si>
    <t>F4513410 / B3207604</t>
  </si>
  <si>
    <t>F4513410 / B3207605</t>
  </si>
  <si>
    <t>4505510-VESTIBULED BUS FRONT</t>
  </si>
  <si>
    <t>4505610-VESTIBULED BUS REAR</t>
  </si>
  <si>
    <t>B3123301-COMET FRONT VE-Passenger</t>
  </si>
  <si>
    <t>B3123301</t>
  </si>
  <si>
    <t>746 - PROCESS DRG. FOR viking FRONT SPRING (IVE-JPSL)</t>
  </si>
  <si>
    <t>B5F10701</t>
  </si>
  <si>
    <t>B3206602-PASSENGER REAR VE - LH</t>
  </si>
  <si>
    <t>B3206602</t>
  </si>
  <si>
    <t>B3206605-PASSENGER REAR VE - RH</t>
  </si>
  <si>
    <t>B3206605</t>
  </si>
  <si>
    <t>3121 Model Frt</t>
  </si>
  <si>
    <t>F4517410</t>
  </si>
  <si>
    <t>3121 Model Rr</t>
  </si>
  <si>
    <t>F4517510</t>
  </si>
  <si>
    <t>LH - MAV UPRATED FRONT SPRING</t>
  </si>
  <si>
    <t>F9F01915</t>
  </si>
  <si>
    <t>RH - MAV UPRATED FRONT SPRING</t>
  </si>
  <si>
    <t>F9F02015</t>
  </si>
  <si>
    <t>LH - MAV UPGRADED REAR SPRING</t>
  </si>
  <si>
    <t>FD300915</t>
  </si>
  <si>
    <t>RH - MAV UPGRADED REAR SPRING</t>
  </si>
  <si>
    <t>FD301015</t>
  </si>
  <si>
    <t>704 - MAV VE FRONT SPRING ASSY</t>
  </si>
  <si>
    <t>B5F03001</t>
  </si>
  <si>
    <t>703 - MAV VE REAR SPRING</t>
  </si>
  <si>
    <t>B6Y00206</t>
  </si>
  <si>
    <t>B6Y00207</t>
  </si>
  <si>
    <t>B6Y00206 (N)</t>
  </si>
  <si>
    <t>4921H UPRATED REAR</t>
  </si>
  <si>
    <t>B3204603</t>
  </si>
  <si>
    <t>710 - MAV FRONT SPRING</t>
  </si>
  <si>
    <t>B5F00401</t>
  </si>
  <si>
    <t>711 - MAV REAR SPRING</t>
  </si>
  <si>
    <t>B9Y00202</t>
  </si>
  <si>
    <t>B6Y00203</t>
  </si>
  <si>
    <t>7201501 - HIPPO'S FRONT</t>
  </si>
  <si>
    <t>3207701 - UPGRADED SPRING FOR 4018H TRACTOR</t>
  </si>
  <si>
    <t>4516510 - HIPPO'S REAR</t>
  </si>
  <si>
    <t>F4516510</t>
  </si>
  <si>
    <t>HIPPO'S REAR KIT</t>
  </si>
  <si>
    <t>TIPPER BOGIE SUSPENSION REAR</t>
  </si>
  <si>
    <t>FD300110</t>
  </si>
  <si>
    <t>4X2 PLATFORM REAR SPRING ASSY - TWO STAGE</t>
  </si>
  <si>
    <t>FD300210</t>
  </si>
  <si>
    <t>FTW05610</t>
  </si>
  <si>
    <t>744 - PROCESS DRAWING FOR AMBULANCE 4X4 FRONT SPRING</t>
  </si>
  <si>
    <t>B5E01401</t>
  </si>
  <si>
    <t>WEWLER-4" FRONT</t>
  </si>
  <si>
    <t>ALRD FRONT SPRING</t>
  </si>
  <si>
    <t>MULTI LEAF SPRING</t>
  </si>
  <si>
    <t>BEVER REAR</t>
  </si>
  <si>
    <t>LOCATING LINK (RIG TESTING)</t>
  </si>
  <si>
    <t>4509810LC-RT</t>
  </si>
  <si>
    <t>LOCATING LINK SUPPORT LEAF</t>
  </si>
  <si>
    <t>4509810LC-RT SL</t>
  </si>
  <si>
    <t>4515510 - Cargo 912 Frt.</t>
  </si>
  <si>
    <t>4515610 - Cargo 912 RR.</t>
  </si>
  <si>
    <t>4514510 - 4935 MODEL</t>
  </si>
  <si>
    <t>442112012 - AVIA PARABOLIC FRONT SPRING</t>
  </si>
  <si>
    <t>442112013 - AVIA PARABOLIC FRONT SPRING</t>
  </si>
  <si>
    <t>442112013 (B7203004)</t>
  </si>
  <si>
    <t>442112058 - AVIA PARABOLIC REAR SPRING</t>
  </si>
  <si>
    <t>442112059 - AVIA PARABOLIC REAR SPRING</t>
  </si>
  <si>
    <t>442312059 (B7302601)</t>
  </si>
  <si>
    <t>SPRING THIRD SUPPORT</t>
  </si>
  <si>
    <t>MAV REAR SPRINGJPSLRH</t>
  </si>
  <si>
    <t>B3205515</t>
  </si>
  <si>
    <t>513 - FRONT PARABOLIC SPRING ASSY (ARMY VEHICLE)</t>
  </si>
  <si>
    <t>F9F00810</t>
  </si>
  <si>
    <t>622 - 8x8 HMV FRONT PARABOLIC SPRING</t>
  </si>
  <si>
    <t>F9F00111</t>
  </si>
  <si>
    <t>621 - 8X8 HMV FRONT PARABOLIC SPRING</t>
  </si>
  <si>
    <t>F9F00211</t>
  </si>
  <si>
    <t>741 - PROCESS DRAWING FOR 6X6 165 CRS TRUCK FR PARA. SPRING</t>
  </si>
  <si>
    <t>B5E03401</t>
  </si>
  <si>
    <t>814 EAGLE - FRONT</t>
  </si>
  <si>
    <t>B3124901</t>
  </si>
  <si>
    <t>ROAD SPRING  REAR ASSY</t>
  </si>
  <si>
    <t xml:space="preserve">B6X03701 </t>
  </si>
  <si>
    <t>STAG CNGBS4 FRONT SPRING</t>
  </si>
  <si>
    <t>B5F04901</t>
  </si>
  <si>
    <t>STAG ONG BS4 REAR PARABOLIC SPRING ASSY</t>
  </si>
  <si>
    <t>B6Y03502</t>
  </si>
  <si>
    <t>805 - STAG SCHOOL BUS REAR PARA SPRING</t>
  </si>
  <si>
    <t>B6Y03505</t>
  </si>
  <si>
    <t>556 - BOGIE SUSP. REAR SPRING-26T</t>
  </si>
  <si>
    <t>FD300314</t>
  </si>
  <si>
    <t>561 - BODIE SUSP. REAR SPRING-32T</t>
  </si>
  <si>
    <t>FD300414</t>
  </si>
  <si>
    <t>4" WEVELLER VE FRONT</t>
  </si>
  <si>
    <t>F4500414</t>
  </si>
  <si>
    <t>730 - PROCESS DRG. FOR 32 TON BOIGE SUSPENSION REAR SPRING</t>
  </si>
  <si>
    <t>F9F00511</t>
  </si>
  <si>
    <t>4" WEVELLER VE REAR</t>
  </si>
  <si>
    <t>FTW00711</t>
  </si>
  <si>
    <t>775 - FALCON BUS 4'WEVELLER FRONT SPRING</t>
  </si>
  <si>
    <t>FHE01011</t>
  </si>
  <si>
    <t>776 - FALCON BUS REAR SPRING</t>
  </si>
  <si>
    <t>FTW01111</t>
  </si>
  <si>
    <t>913 - 12M FALCON 4'' WEWELLER VE REAR SPRING ASSY</t>
  </si>
  <si>
    <t>FTW07400</t>
  </si>
  <si>
    <t>914 - 12M FALCON  WEWELLER  REAR SPRING ASSY</t>
  </si>
  <si>
    <t>FTW07300</t>
  </si>
  <si>
    <t>829 - 10X10 HIGH POWER BOGIE SUSP REAR SPRING SPRING</t>
  </si>
  <si>
    <t>FTW00313</t>
  </si>
  <si>
    <t>MBP 38T BOGIE SUSP. REAR</t>
  </si>
  <si>
    <t>FTW06300</t>
  </si>
  <si>
    <t>STAG SCHOOL BUS FRONT</t>
  </si>
  <si>
    <t>B5F01601</t>
  </si>
  <si>
    <t>STAG 4900 SCHOOL BUS REAR</t>
  </si>
  <si>
    <t>B6Y01301</t>
  </si>
  <si>
    <t>7255788 - FV4921 WITH H SERIES ENGINE&amp;G91 CAB FR</t>
  </si>
  <si>
    <t>FV4921 WITH H SERIES ENGINE&amp;G91 CAB FR - HEAVY DUTY</t>
  </si>
  <si>
    <t>606 - FV4932 WITH NEPTUNE ENGINE &amp; G91 CAP FR SPRING</t>
  </si>
  <si>
    <t>F9F02415</t>
  </si>
  <si>
    <t xml:space="preserve">745 - PROCESS DWG FOR FVDP TIPPERS FR SPRING ASSY </t>
  </si>
  <si>
    <t>B7203103</t>
  </si>
  <si>
    <t>7256389 - FV4921 WITH H SERIES ENGINE &amp;G91 TILT CAB FR SPRING</t>
  </si>
  <si>
    <t>F9F00610</t>
  </si>
  <si>
    <t>7256390 - FV4921 WITH H SERIES ENGINE FR SPRING</t>
  </si>
  <si>
    <t>F9F00510</t>
  </si>
  <si>
    <t>654 - ICV BUSES FR PARABOLIC SPRINGS</t>
  </si>
  <si>
    <t>B5F07301</t>
  </si>
  <si>
    <t>763 -OYSTER BUS FRONT PARABOLIC SPRING</t>
  </si>
  <si>
    <t>B5F07302</t>
  </si>
  <si>
    <t>757 NGSB FRONT PARABOLIC SPRING</t>
  </si>
  <si>
    <t>B5F09802</t>
  </si>
  <si>
    <t>758 - NGSB REAR PARABOLIC SPRING ASSY</t>
  </si>
  <si>
    <t>B6Y07803</t>
  </si>
  <si>
    <t>B6Y07804</t>
  </si>
  <si>
    <t xml:space="preserve">790 - NGSB FRONT PARABOLIC SPRING </t>
  </si>
  <si>
    <t>B5F11901</t>
  </si>
  <si>
    <t>791 - NGSB REAR PARABOLIC SPRING ASSY</t>
  </si>
  <si>
    <t>B6Y10401</t>
  </si>
  <si>
    <t>674 - 12M FE SLF WEWELLER FR PARABOLIC SPRING</t>
  </si>
  <si>
    <t>FHE00111</t>
  </si>
  <si>
    <t>614 - FVDP FR SUSPENSION PARA. SPRING</t>
  </si>
  <si>
    <t>F9F01110</t>
  </si>
  <si>
    <t>823 - 9.6T  FRONT PARABOLIC SPRING</t>
  </si>
  <si>
    <t>B5E02402</t>
  </si>
  <si>
    <t>824 - 11.9T  FRONT PARABOLIC SPRING</t>
  </si>
  <si>
    <t>B5E02503</t>
  </si>
  <si>
    <t>822 - 12.9T VE FRONT PARABOLIC SPRING</t>
  </si>
  <si>
    <t>B5E02602</t>
  </si>
  <si>
    <t>672 - HMV HIGH PAYLOAD FR SPRING 1650 SPAN PARA SPRING</t>
  </si>
  <si>
    <t>FHE00300</t>
  </si>
  <si>
    <t>673 - 1850 SPAN PARA SPRING</t>
  </si>
  <si>
    <t>FHE00400</t>
  </si>
  <si>
    <t>7256392 - FV4921 WITH H SERIES ENGINE FR SPRING</t>
  </si>
  <si>
    <t>F9F01615</t>
  </si>
  <si>
    <t>STALLION MARK V FRONT</t>
  </si>
  <si>
    <t>SUSPENSION REAR -26T</t>
  </si>
  <si>
    <t>820 - BOSS 1616 REAR SPRING ASSY</t>
  </si>
  <si>
    <t>B6Y10501</t>
  </si>
  <si>
    <t>699 - SUPER STALLION 10X10REAR SSSPRING</t>
  </si>
  <si>
    <t>B9C00501</t>
  </si>
  <si>
    <t>833 - MBP 8T FRONT  SPRING</t>
  </si>
  <si>
    <t>B3201003-old</t>
  </si>
  <si>
    <t>956-MBP 8T FRONT SPRING</t>
  </si>
  <si>
    <t>B3201003</t>
  </si>
  <si>
    <t>834 - MBP 6T FRONT  SPRING</t>
  </si>
  <si>
    <t>B3201001</t>
  </si>
  <si>
    <t>827 - MBP FRONT PARABOLIC SPRING</t>
  </si>
  <si>
    <t>B3201002</t>
  </si>
  <si>
    <t>1036- FOR MBP 6T FRONT PARABOLIC SPRING</t>
  </si>
  <si>
    <t>B3201002-S</t>
  </si>
  <si>
    <t>828 - MBP15T HYBRID REAR  SPRING</t>
  </si>
  <si>
    <t>B3301001</t>
  </si>
  <si>
    <t>828-FOR MBP 15T HYBRID REAR SPRING</t>
  </si>
  <si>
    <t>MB334047</t>
  </si>
  <si>
    <t>966- MBP 15T HYBRID.REAR SPRING</t>
  </si>
  <si>
    <t>B3301001-VE</t>
  </si>
  <si>
    <t>830 - MBP 10.5T HYBRID REAR  SPRING</t>
  </si>
  <si>
    <t>B3301002</t>
  </si>
  <si>
    <t>879- MBP 7T FRONT SPRING</t>
  </si>
  <si>
    <t>MB321028</t>
  </si>
  <si>
    <t>MBP 7T FRONT SPRING</t>
  </si>
  <si>
    <t>MB321028-VE</t>
  </si>
  <si>
    <t>880-MBT 7T FRONT PARABOLIC SPRING</t>
  </si>
  <si>
    <t>MB321029</t>
  </si>
  <si>
    <t>1100-FOR MBP 7T FRONT PARABOLIC SPRING</t>
  </si>
  <si>
    <t>MB321064</t>
  </si>
  <si>
    <t>1178 - ECOMET 16T HAULAGE FRONT PARABOLIC SPRING  ASSY</t>
  </si>
  <si>
    <t>MB321081</t>
  </si>
  <si>
    <t>1179 - ECOMET 17.5T HAULAGE FRONT PARABOLIC SPRING  ASSY</t>
  </si>
  <si>
    <t>MB321082</t>
  </si>
  <si>
    <t>1176 - ECOMET SA FRONT PARA SPRING 11-14T</t>
  </si>
  <si>
    <t>MB321083</t>
  </si>
  <si>
    <t>878-MBP 12.5T HYBRID REAR SPRING</t>
  </si>
  <si>
    <t>MB334020</t>
  </si>
  <si>
    <t>MB334045</t>
  </si>
  <si>
    <t>857-PROCESS DRAWING FOR BS-V1 CHEETAH FRONT SPRING ASSY</t>
  </si>
  <si>
    <t>MB321008</t>
  </si>
  <si>
    <t>1044- FOR CHEETAH 1920 FRONT SPRING ASSY</t>
  </si>
  <si>
    <t>MB321054</t>
  </si>
  <si>
    <t>MBP BSVI 9T SHA REAR SPRING</t>
  </si>
  <si>
    <t>MB334012</t>
  </si>
  <si>
    <t>LYNX SMART BUS REAR PARA SPRING</t>
  </si>
  <si>
    <t>MB334017</t>
  </si>
  <si>
    <t xml:space="preserve">949-LYNX SMART BUS  REAR PARA SPRING </t>
  </si>
  <si>
    <t>MB334019</t>
  </si>
  <si>
    <t>FOR MBP 10.5T FRONT PARABOLIC SPRING</t>
  </si>
  <si>
    <t>MB321109</t>
  </si>
  <si>
    <t>962- VIKING E+3BS6 FRONT SPRING ASSY</t>
  </si>
  <si>
    <t>MB321006</t>
  </si>
  <si>
    <t>1127-35T BOLSTER BOGIE SPRING ASSY</t>
  </si>
  <si>
    <t>FTW15600</t>
  </si>
  <si>
    <t>906-MBP LYNX 8T REAR SPRING</t>
  </si>
  <si>
    <t>MB334030</t>
  </si>
  <si>
    <t>936-MBP 15T HYBRID REAR SPRING ASSY</t>
  </si>
  <si>
    <t>MB334032</t>
  </si>
  <si>
    <t>940-MBP NRS REAR SPRING ASSY</t>
  </si>
  <si>
    <t>MB334033</t>
  </si>
  <si>
    <t>992-ECOMET 14T BS6 REAR SPRING</t>
  </si>
  <si>
    <t>MB334052-M</t>
  </si>
  <si>
    <t>863-BS VI WEWELLER RR SPRING</t>
  </si>
  <si>
    <t>FTW05600</t>
  </si>
  <si>
    <t>819-MDV BUS E+2 REAR SPRING ASSY</t>
  </si>
  <si>
    <t>FTW06500</t>
  </si>
  <si>
    <t>729 - PD LEAF SUPER STALLION 8x8-LEAF SPRING GEAR BOX SUPPORT</t>
  </si>
  <si>
    <t>FM200200</t>
  </si>
  <si>
    <t>980- ECOMET 1214 REAR SPRING</t>
  </si>
  <si>
    <t>MB334039</t>
  </si>
  <si>
    <t>975- BOSS 1616 FRONT SPRING ASSY</t>
  </si>
  <si>
    <t>B5F13102</t>
  </si>
  <si>
    <t>982- MBP FRONT SPRING</t>
  </si>
  <si>
    <t>MB321042</t>
  </si>
  <si>
    <t>985- MBP 38T BOGIE SUSP REAR SPRING</t>
  </si>
  <si>
    <t>FTW09700</t>
  </si>
  <si>
    <t>1193- 38T PROGRESSIVE BOGIE REAR SPRING ASSY</t>
  </si>
  <si>
    <t>FTW17400</t>
  </si>
  <si>
    <t>985-MBP 4X2 20T REAR SPRINGASSY</t>
  </si>
  <si>
    <t>MB334043</t>
  </si>
  <si>
    <t>BOSS 9.6T REAR SPRING ASSY</t>
  </si>
  <si>
    <t>B6Y09503</t>
  </si>
  <si>
    <t>BOSS 11.9T REAR SPRING ASSY</t>
  </si>
  <si>
    <t>B6Y09603</t>
  </si>
  <si>
    <t>849 - NGICV BOSS 12.9T REAR SPRING ASSY</t>
  </si>
  <si>
    <t>B6Y09701</t>
  </si>
  <si>
    <t>818 - VIKINGE+2 WEWELLER FR PARA SPRING</t>
  </si>
  <si>
    <t>FHE01411</t>
  </si>
  <si>
    <t>819 - VIKINGE+2 WEWELLER REAR  SPRING</t>
  </si>
  <si>
    <t>FTW01411</t>
  </si>
  <si>
    <t>825 - STAG BUS FRONT PARABOLIC SPRING</t>
  </si>
  <si>
    <t>B5F07304</t>
  </si>
  <si>
    <t>826 - LYNX BUS REAR PARABOLIC SPRING</t>
  </si>
  <si>
    <t>B6Y03506</t>
  </si>
  <si>
    <t xml:space="preserve">948-MBP 38T BOGIE SUSP REAR  SPRING </t>
  </si>
  <si>
    <t>FTW00199</t>
  </si>
  <si>
    <t>957-MBP 38T BOGIE SUSP REAR SPRING</t>
  </si>
  <si>
    <t>FTW00199-VE</t>
  </si>
  <si>
    <t>1047- FOR MBP 28.8T BOGIE SUP .REAR SPRING</t>
  </si>
  <si>
    <t>FTW12200</t>
  </si>
  <si>
    <t>1187 - MBP 28T BOGIE SUSP.REAR SPRING</t>
  </si>
  <si>
    <t>FTW17100</t>
  </si>
  <si>
    <t>832 - MBP 26T BOGIE SUSP. REAR  SPRING</t>
  </si>
  <si>
    <t>FTW00299</t>
  </si>
  <si>
    <t>1196- 26T  BOGIE SUSP.REAR SPRING ASSY</t>
  </si>
  <si>
    <t>FTW17500</t>
  </si>
  <si>
    <t>1120-3 INCH WEVELLER REAR LEAF SPRING ASSY</t>
  </si>
  <si>
    <t>FTW14500</t>
  </si>
  <si>
    <t>1034- FOR MBP 38T BOGIE PROGG 1500S SPAM SPG ASSY</t>
  </si>
  <si>
    <t>FTW11900</t>
  </si>
  <si>
    <t>1195- 38T  BOGIE PROGG 1500 SPAN SPG ASSY</t>
  </si>
  <si>
    <t>FTW17300</t>
  </si>
  <si>
    <t>029-MBP 8T FRONT PARA SPRING</t>
  </si>
  <si>
    <t>B3201004</t>
  </si>
  <si>
    <t>1001-MBP 10.5T FRONT PARABOLIC SPRING</t>
  </si>
  <si>
    <t>B3201005</t>
  </si>
  <si>
    <t>MBP 10.5T FRONT PARABOLIC SPRING</t>
  </si>
  <si>
    <t>MB321045</t>
  </si>
  <si>
    <t>1138-LYNX SMART LITE BUS FRONT PARA.SPRING</t>
  </si>
  <si>
    <t>MB321075</t>
  </si>
  <si>
    <t>1137-LYNX SMART LITE BUS REAR PARA SPRING</t>
  </si>
  <si>
    <t>MB334099</t>
  </si>
  <si>
    <t>TRUCK HIGH TIPPER FR PARA SPRING</t>
  </si>
  <si>
    <t>B5F13301</t>
  </si>
  <si>
    <t>MBP 9.5T FRONT PARABOLIC SPRING</t>
  </si>
  <si>
    <t>MB321046</t>
  </si>
  <si>
    <t>1134-LYNX SMART LITE BUS REARPARA SPRING</t>
  </si>
  <si>
    <t>MB334098</t>
  </si>
  <si>
    <t>999-MBP NRS 22T REAR SPRING ASS</t>
  </si>
  <si>
    <t>MB334002</t>
  </si>
  <si>
    <t>1151-REAR NRS SPRING ASSY</t>
  </si>
  <si>
    <t>B6Y18101</t>
  </si>
  <si>
    <t>1042- FOR 12M BUS FRONT SPRING</t>
  </si>
  <si>
    <t>FHE07200</t>
  </si>
  <si>
    <t>986-VIKINGE+313.5M-SEFRONTSPRINGASSY</t>
  </si>
  <si>
    <t>FHE05800</t>
  </si>
  <si>
    <t>1150-REAR SPRING FOR FALCON DDAC</t>
  </si>
  <si>
    <t>FTW15800</t>
  </si>
  <si>
    <t>1037- FOR MBP NR S REAR SPRING -26T</t>
  </si>
  <si>
    <t>MB334066</t>
  </si>
  <si>
    <t>1104 -FOR MBP NRS REAR SPRING - 30 T</t>
  </si>
  <si>
    <t>MB334081</t>
  </si>
  <si>
    <t>1233 - FOR MBP 30T NRS REAR SPRING ASSY</t>
  </si>
  <si>
    <t>MB334135</t>
  </si>
  <si>
    <t>1209-VIKING 9T SHACXLE PROGG REAR LEAF SPG ASSY</t>
  </si>
  <si>
    <t>MB334119</t>
  </si>
  <si>
    <t xml:space="preserve">951-MBP NRS REAR SPRING </t>
  </si>
  <si>
    <t>MB334036</t>
  </si>
  <si>
    <t>MBP 12.2T 1475 SPAN REAR SPRING</t>
  </si>
  <si>
    <t>MB334055</t>
  </si>
  <si>
    <t>MB334056</t>
  </si>
  <si>
    <t>1009-MBP 15T REAR HYBRID LEAF SPRING</t>
  </si>
  <si>
    <t>MB334059</t>
  </si>
  <si>
    <t>MB334060</t>
  </si>
  <si>
    <t>1088 - BOSS 16T-18T FRONT PARA.SPRING -2STAGE</t>
  </si>
  <si>
    <t>MB321057</t>
  </si>
  <si>
    <t>1132-boss 16T-18T REAR SPRING ASSY</t>
  </si>
  <si>
    <t>MB334095</t>
  </si>
  <si>
    <t>1112 -FOR MBP 26T NRS REAR SPRING</t>
  </si>
  <si>
    <t>MB334085</t>
  </si>
  <si>
    <t>1066 - MBP 4X2 19.6 REAR SPRING ASSY</t>
  </si>
  <si>
    <t>MB334073</t>
  </si>
  <si>
    <t xml:space="preserve">1043- FOR PARTNER 11T FRONT PARA SPRING ASSY </t>
  </si>
  <si>
    <t>540102VE4C</t>
  </si>
  <si>
    <t>PROCESS DRAWING FOR PAER 9T-11T REAR SPRING ASSY</t>
  </si>
  <si>
    <t>550202VE3B</t>
  </si>
  <si>
    <t>LEAF SPRING DRIVE</t>
  </si>
  <si>
    <t>FTW03400</t>
  </si>
  <si>
    <t>LEAF SPRING TAF</t>
  </si>
  <si>
    <t>FTW03500</t>
  </si>
  <si>
    <t>LEAF SPRING TAG-26T</t>
  </si>
  <si>
    <t>FTW06000</t>
  </si>
  <si>
    <t>FTW06100</t>
  </si>
  <si>
    <t>1258- FOR 26T SLIPPER REAR SPRING DRIVE</t>
  </si>
  <si>
    <t>FTW23100</t>
  </si>
  <si>
    <t>1259- FOR 26T SLIPPER REAR SPRING TG</t>
  </si>
  <si>
    <t>FTW24000</t>
  </si>
  <si>
    <t>E COMET 17.5T FRONT SPRING ASSY</t>
  </si>
  <si>
    <t>MB321073</t>
  </si>
  <si>
    <t>1171 - SA REAR SPRING FOR E COMET 16T TIPPER ASSY</t>
  </si>
  <si>
    <t>MB334105</t>
  </si>
  <si>
    <t>MB334113</t>
  </si>
  <si>
    <t>PROCESS DRAWING FOR SCB FRONT CONV SPRING ASSY</t>
  </si>
  <si>
    <t>B5F19003</t>
  </si>
  <si>
    <t>1228-BOIGE BOLSTER REAR SPRING</t>
  </si>
  <si>
    <t>FTW21000</t>
  </si>
  <si>
    <t>797 - DOST PLUS REAR SPRING ASSY</t>
  </si>
  <si>
    <t>FTW01211</t>
  </si>
  <si>
    <t>AL - LCV</t>
  </si>
  <si>
    <t>798 - DOST PLUS REAR SPRING ASSY</t>
  </si>
  <si>
    <t>550202VA0C</t>
  </si>
  <si>
    <t>792 - DOST PLUS FORNT SPRING ASSY</t>
  </si>
  <si>
    <t>540102VA0C</t>
  </si>
  <si>
    <t>838 - PHOENIX SCV 3.5T REAR  SPRING ASSY</t>
  </si>
  <si>
    <t>BTW05401</t>
  </si>
  <si>
    <t>1199- BADA DOST 3.49T REAR LEAF SPG ASSY</t>
  </si>
  <si>
    <t>MB334117</t>
  </si>
  <si>
    <t xml:space="preserve">900 - PHOENIX PARA FRONT SPRING </t>
  </si>
  <si>
    <t>BHE03601</t>
  </si>
  <si>
    <t>FRONT PARABOLIC SPRING</t>
  </si>
  <si>
    <t>540102VA0A</t>
  </si>
  <si>
    <t>683-RIGID AXLE FRONT SPRING</t>
  </si>
  <si>
    <t>540102VA0B</t>
  </si>
  <si>
    <t>1136-DOST XL REAR PARA SPRING ASSY</t>
  </si>
  <si>
    <t>550202VA1B</t>
  </si>
  <si>
    <t>1147-DOST PLUS XL REAR PARA.SPRING ASSY</t>
  </si>
  <si>
    <t>550202VA1C</t>
  </si>
  <si>
    <t>REAR PARABOLIC SPRING</t>
  </si>
  <si>
    <t>550202VA0A</t>
  </si>
  <si>
    <t>668 - RIGID PASSENGER REAR APRING-PARA</t>
  </si>
  <si>
    <t>550202VA1A</t>
  </si>
  <si>
    <t>958-PHOENIX PARA 2.5T FRONT SPRING ASSY</t>
  </si>
  <si>
    <t>BHE05301</t>
  </si>
  <si>
    <t>959-PHOENIX PARA 2.5T REAR SPRING ASSY</t>
  </si>
  <si>
    <t>BTW07601</t>
  </si>
  <si>
    <t>960- DOST PLUS PARA FRONT SPRING</t>
  </si>
  <si>
    <t>BHE05201</t>
  </si>
  <si>
    <t>961- PHOENIX PARA 2.8 T REAR SPRING ASSY</t>
  </si>
  <si>
    <t>BTW07501</t>
  </si>
  <si>
    <t>882-F24 PANEL BUS WEWELLER FR PARA SPRING</t>
  </si>
  <si>
    <t>540102VE3B</t>
  </si>
  <si>
    <t>1205 - GAZL BUS FRONT WEVELLER PARA SPG ASSY</t>
  </si>
  <si>
    <t>FHE11700</t>
  </si>
  <si>
    <t>883-F24 PANEL BUS WEWELLER RR PARA SPRING</t>
  </si>
  <si>
    <t>550202VF0E</t>
  </si>
  <si>
    <t>RENAULT NISSAN</t>
  </si>
  <si>
    <t>577 - REAR LEAF SPRING - PARABOLIC</t>
  </si>
  <si>
    <t>550203LHOA</t>
  </si>
  <si>
    <t>VFJ</t>
  </si>
  <si>
    <t>4508710 VFJ-DEFENCE</t>
  </si>
  <si>
    <t>VOLVO</t>
  </si>
  <si>
    <t>3172456 VOLVO</t>
  </si>
  <si>
    <t>257650 VOLVO</t>
  </si>
  <si>
    <t>257654 VOLVO</t>
  </si>
  <si>
    <t>257658 VOLVO</t>
  </si>
  <si>
    <t>257655 VOLVO FRONT SPRING</t>
  </si>
  <si>
    <t>257862 VOLVO</t>
  </si>
  <si>
    <t>257863 VOLVO</t>
  </si>
  <si>
    <t>75-7225 - 6T TRAILER PARA</t>
  </si>
  <si>
    <t>VOLVO AM</t>
  </si>
  <si>
    <t>61004 - FH FAL 9T FRONT</t>
  </si>
  <si>
    <t>1635396-257884</t>
  </si>
  <si>
    <t>61005 - FH FAL 8T FRONT</t>
  </si>
  <si>
    <t>1635351-257875</t>
  </si>
  <si>
    <t>61006 - PARABOLIC FRONT SPRING</t>
  </si>
  <si>
    <t>24425867-257931</t>
  </si>
  <si>
    <t>61007 - PARABOLIC FRONT SPRING</t>
  </si>
  <si>
    <t>20844993-257934</t>
  </si>
  <si>
    <t>TKML</t>
  </si>
  <si>
    <t>48220-0B010T.K.M.L. REAR SPRING-LH</t>
  </si>
  <si>
    <t>48220-0B010</t>
  </si>
  <si>
    <t>48220-0B030 TKML-VE-LH SPRING</t>
  </si>
  <si>
    <t>48220-0B030</t>
  </si>
  <si>
    <t>48220-0B040 TKML-VE-LH SPRING</t>
  </si>
  <si>
    <t>48220-0B040</t>
  </si>
  <si>
    <t>48220-0B031</t>
  </si>
  <si>
    <t>48210-0B241</t>
  </si>
  <si>
    <t>TELCO (P)</t>
  </si>
  <si>
    <t>TATA SUMO</t>
  </si>
  <si>
    <t>TATA 4SP</t>
  </si>
  <si>
    <t>TATA 4DL</t>
  </si>
  <si>
    <t>618 - VICTA DI BS - 1V PARA REAR SPRING ASSY</t>
  </si>
  <si>
    <t>0150 - 207DI VE</t>
  </si>
  <si>
    <t>0102 - 207DI FLAT BODY</t>
  </si>
  <si>
    <t>0153 - SUMO WO WRAPPER</t>
  </si>
  <si>
    <t>0152 - 4DL WO WRAPPER</t>
  </si>
  <si>
    <t>0154 -  4SP-VE</t>
  </si>
  <si>
    <t>0138 - CUB FRONT</t>
  </si>
  <si>
    <t>TELCO</t>
  </si>
  <si>
    <t>278232400106 - 2515 REAR</t>
  </si>
  <si>
    <t>263232100107 - 1613 FRONT</t>
  </si>
  <si>
    <t>263232400112 - 1613 REAR</t>
  </si>
  <si>
    <t>200132100105 - 1510 LP FRONT</t>
  </si>
  <si>
    <t>25763210104N - 1516 (2416) FRONT</t>
  </si>
  <si>
    <t>25763210104N</t>
  </si>
  <si>
    <t>261732400104 - REAR 2316-4SPRINGS (2416)</t>
  </si>
  <si>
    <t>257532100401 - 1312 FRONT SPRING</t>
  </si>
  <si>
    <t>263232400102 - 1312 REAR SPRING</t>
  </si>
  <si>
    <t>264132100109 - LP609 FRONT</t>
  </si>
  <si>
    <t>264132100113N - LP609 FRONT</t>
  </si>
  <si>
    <t>264132100113N</t>
  </si>
  <si>
    <t>265132400152 - 407 BUS REAR</t>
  </si>
  <si>
    <t>265132400128 - 407 TRUCK REAR</t>
  </si>
  <si>
    <t>265132100130 - 407 TRUCK FRONT</t>
  </si>
  <si>
    <t>2002005 - LPT 1313(1312)-VE FRONT</t>
  </si>
  <si>
    <t>2002007 - 2515 REAR STIFFER-VE</t>
  </si>
  <si>
    <t>264432400103 - LPT 709 REAR</t>
  </si>
  <si>
    <t>263232100107-HS - 1613-FR-HIGH STRESS</t>
  </si>
  <si>
    <t>263232100107-HS</t>
  </si>
  <si>
    <t>265132100162-VE - SFC 407 FRONT VE</t>
  </si>
  <si>
    <t>265132100162-VE</t>
  </si>
  <si>
    <t>278232400110 - 2515 REAR STIFFER-VE</t>
  </si>
  <si>
    <t>0130 - LPT 1613 FRONT</t>
  </si>
  <si>
    <t>0114 - LPT 1613 REAR</t>
  </si>
  <si>
    <t>LPT 2515 FRONT</t>
  </si>
  <si>
    <t>LPT 2515 REAR</t>
  </si>
  <si>
    <t>3118 REAR</t>
  </si>
  <si>
    <t>LPK 3134 FRONT (unsymetric span)</t>
  </si>
  <si>
    <t>LPK 3134 FRONT</t>
  </si>
  <si>
    <t>WORLD TRUCK FRONT</t>
  </si>
  <si>
    <t>WORLD TRUCK Para</t>
  </si>
  <si>
    <t>LPK 3134 FRONT-SB</t>
  </si>
  <si>
    <t>500632100121-SB</t>
  </si>
  <si>
    <t>TELCO(P)</t>
  </si>
  <si>
    <t>2515FRT PARA</t>
  </si>
  <si>
    <t>4018 FRONT PARABOLIC SPRING</t>
  </si>
  <si>
    <t>810 - FRONT PARABOLIC SPRING</t>
  </si>
  <si>
    <t>816 - FRONT PARABOLIC SPRING</t>
  </si>
  <si>
    <t>821 - 3118 FRONT PARABOLIC SPRING</t>
  </si>
  <si>
    <t>988-TRUCK FRONT PARA SPRING</t>
  </si>
  <si>
    <t>989-ULTRA7.5TBUSRRPARASPRINGASSY</t>
  </si>
  <si>
    <t>1031- LPT 4923 FORZA A,B,C FA1 FRONT PARABOLIC SPRING</t>
  </si>
  <si>
    <t>1032- LPT 4923 FORZA A,B,C FA2 FRONT PARABOLIC SPRING</t>
  </si>
  <si>
    <t>1084 - LPT 4823T FRONT PARABOLIC SPRING</t>
  </si>
  <si>
    <t xml:space="preserve">1085 - SIGNA 4825T FRONT PARABOLIC SPRING </t>
  </si>
  <si>
    <t>1091 - 46T FRONT PARABOLIC SPRING REAR BOGIE SPRING</t>
  </si>
  <si>
    <t>TML PUNE</t>
  </si>
  <si>
    <t>1154-PROCESS DRAWING FOR ULTRA T.12 FRONT PARABOLIC LEAF SPRING ASSY</t>
  </si>
  <si>
    <t>1162 - ULTRA T14 RDE FRONT PARA LEAF SPG ASSY</t>
  </si>
  <si>
    <t>1153-LPT 1816 RDE FRONT PARABOLIC LEAF SPRING ASSY</t>
  </si>
  <si>
    <t>1152-ULTRA T16 FRONT PARABOLIC LEAF SPRING ASSY</t>
  </si>
  <si>
    <t>817 - LPT1615 FRONT PARABOLIC SPRING</t>
  </si>
  <si>
    <t>LPK 2038 ARMY 6X6 VEHICLE FT PARA SPRING</t>
  </si>
  <si>
    <t>681 - LPK2523 SPRING ASSY</t>
  </si>
  <si>
    <t>LPT 2515/2518 FRONT</t>
  </si>
  <si>
    <t>1510 FRONT PARABOLIC</t>
  </si>
  <si>
    <t>1510 REAR PARABOLIC SPRING</t>
  </si>
  <si>
    <t>LPK 2518 REAR</t>
  </si>
  <si>
    <t>LPK 2518 TC REAR VE</t>
  </si>
  <si>
    <t>LPT 1613 REAR VE SPRING WITH HELPER</t>
  </si>
  <si>
    <t>1212-TML ULTRA 1918 REAR SPG ASSY</t>
  </si>
  <si>
    <t>1214-TML ULTRA T11 RDE REAR SOG ASSY</t>
  </si>
  <si>
    <t>1229-7.3T TRUCK NARROW REAR SPRING ASSY</t>
  </si>
  <si>
    <t>LPT 1613 REAR SPRING SPRING WITH HELPER</t>
  </si>
  <si>
    <t>EICHER</t>
  </si>
  <si>
    <t>3081 EICHER CANTER FR</t>
  </si>
  <si>
    <t>3083 EICHER CANTER RR</t>
  </si>
  <si>
    <t>3084 FRONT SPRING</t>
  </si>
  <si>
    <t>3090 REAR SPRING</t>
  </si>
  <si>
    <t>7505 EICHER DELUX BUS RR</t>
  </si>
  <si>
    <t>7533 EICHER SHAKTI FR</t>
  </si>
  <si>
    <t>204101 EICHER MCV FR</t>
  </si>
  <si>
    <t>205272 FRONT SPRING</t>
  </si>
  <si>
    <t>IA211786</t>
  </si>
  <si>
    <t>205451 REAR SPRING</t>
  </si>
  <si>
    <t>206436-CONV</t>
  </si>
  <si>
    <t>206607-CON</t>
  </si>
  <si>
    <t>206608-CON</t>
  </si>
  <si>
    <t>207740 MCV REAR SPRING</t>
  </si>
  <si>
    <t>207753 MCV FRONT SPRING</t>
  </si>
  <si>
    <t>EICHER208230</t>
  </si>
  <si>
    <t>EICHER207881</t>
  </si>
  <si>
    <t>IA211795</t>
  </si>
  <si>
    <t>EICHER208263</t>
  </si>
  <si>
    <t>EICHER208264</t>
  </si>
  <si>
    <t>211206 - MOD-HCB REAR</t>
  </si>
  <si>
    <t>208264-VE - HCV-VE-FRONT</t>
  </si>
  <si>
    <t>208264-VE</t>
  </si>
  <si>
    <t>6x2 -VE RR SPRING</t>
  </si>
  <si>
    <t>208230-VE</t>
  </si>
  <si>
    <t>20.16 FRONT SPRING</t>
  </si>
  <si>
    <t>20.16 REAR SPRING</t>
  </si>
  <si>
    <t>VOLVO EICHER</t>
  </si>
  <si>
    <t>1002-FRONT PARABOLIC SPRING</t>
  </si>
  <si>
    <t>IC515884</t>
  </si>
  <si>
    <t>216290 - HDS-30.25 REAR SPRING</t>
  </si>
  <si>
    <t>M&amp;M</t>
  </si>
  <si>
    <t>M&amp;M-SCORPIO REAR 0402AA0060N</t>
  </si>
  <si>
    <t>0402AA0060N</t>
  </si>
  <si>
    <t>STERLING</t>
  </si>
  <si>
    <t>STERLING 82110</t>
  </si>
  <si>
    <t>A16-16392-000</t>
  </si>
  <si>
    <t>STERLING 82111</t>
  </si>
  <si>
    <t>A16-16393-000</t>
  </si>
  <si>
    <t>STERLING 82112</t>
  </si>
  <si>
    <t>A16-16387-000</t>
  </si>
  <si>
    <t>STERLING 82113</t>
  </si>
  <si>
    <t>A16-16388-000</t>
  </si>
  <si>
    <t>STERLING 82114</t>
  </si>
  <si>
    <t>A16-16389-000</t>
  </si>
  <si>
    <t>STERLING 82115</t>
  </si>
  <si>
    <t>A16-16390-000</t>
  </si>
  <si>
    <t>STERLING 82116</t>
  </si>
  <si>
    <t>A16-16384-000</t>
  </si>
  <si>
    <t>STERLING 82117</t>
  </si>
  <si>
    <t>A16-16385-000</t>
  </si>
  <si>
    <t>FIAT-ITALY</t>
  </si>
  <si>
    <t>FIAT-ITALY1329811080</t>
  </si>
  <si>
    <t>FIAT-ITALY1329812080</t>
  </si>
  <si>
    <t>FIAT-ITALY1329823080</t>
  </si>
  <si>
    <t>FIAT-ITALY1329806080</t>
  </si>
  <si>
    <t>FORD-GERMANY</t>
  </si>
  <si>
    <t>FORD-GERMANY  IC-15-5560-EE</t>
  </si>
  <si>
    <t>IC-15-5560-EF</t>
  </si>
  <si>
    <t>FORD-GERMANY  YC-15-5560-KK</t>
  </si>
  <si>
    <t>YC-15-5560-KL</t>
  </si>
  <si>
    <t>YC-15-5560-NK - FORD-GERMANY</t>
  </si>
  <si>
    <t>YC-11-5560-NL</t>
  </si>
  <si>
    <t>IC-15-5560-LE - FORD-GERMANY</t>
  </si>
  <si>
    <t>IC-15-5560-LE</t>
  </si>
  <si>
    <t>IC-15-5560-DE- FORD-GERMANY</t>
  </si>
  <si>
    <t>IC-15-5560-DE</t>
  </si>
  <si>
    <t>PARABOLIC SPRING ASSY</t>
  </si>
  <si>
    <t>YC15-5560-XK</t>
  </si>
  <si>
    <t>YC15-5560-ML</t>
  </si>
  <si>
    <t>YC15-5560-VK</t>
  </si>
  <si>
    <t>YC15-5560-UL</t>
  </si>
  <si>
    <t>IC15-5560-CE</t>
  </si>
  <si>
    <t>YC15-5560-TL</t>
  </si>
  <si>
    <t>2C11-5560-CB</t>
  </si>
  <si>
    <t>2C11-5560-DB</t>
  </si>
  <si>
    <t>2C11-5560-JB</t>
  </si>
  <si>
    <t>2C11-5560-KB</t>
  </si>
  <si>
    <t>YC15-5560-HG</t>
  </si>
  <si>
    <t>YC15-5560-GN</t>
  </si>
  <si>
    <t>YC15-5560-RJ</t>
  </si>
  <si>
    <t>IC15-5560-JF</t>
  </si>
  <si>
    <t>IC15-5560-PF</t>
  </si>
  <si>
    <t>PARABOLIC</t>
  </si>
  <si>
    <t>2C11-5560-HB</t>
  </si>
  <si>
    <t>2006-PROGRAM PARABOLIC-RR</t>
  </si>
  <si>
    <t>6C11-5560-EA</t>
  </si>
  <si>
    <t>2C11-5560-FB</t>
  </si>
  <si>
    <t>3C11-5560-AB</t>
  </si>
  <si>
    <t>2C11-5560-BB</t>
  </si>
  <si>
    <t>2C11-5560-EB</t>
  </si>
  <si>
    <t>FORD-CHENNAI</t>
  </si>
  <si>
    <t>4M3V5B692 AA - FORD-CHENNAI</t>
  </si>
  <si>
    <t>4M3V5B692 AA</t>
  </si>
  <si>
    <t>4M3V5B692 BE - FORD-CHENNAI</t>
  </si>
  <si>
    <t>4M3V5B692 BE</t>
  </si>
  <si>
    <t>5M3V5B692AC - FORD-CHENNAI</t>
  </si>
  <si>
    <t>5M3V5B692AC</t>
  </si>
  <si>
    <t>7M3V5B692BA - FORD-CHENNAI</t>
  </si>
  <si>
    <t>7M3V5B692BB</t>
  </si>
  <si>
    <t>FORD-TURKEY</t>
  </si>
  <si>
    <t>PARABOLIC REAR</t>
  </si>
  <si>
    <t>2T14-5560-BM</t>
  </si>
  <si>
    <t>2T14-5560-FK</t>
  </si>
  <si>
    <t>2T14-5560-GK</t>
  </si>
  <si>
    <t>V34x LOCAL MARKET SPRING</t>
  </si>
  <si>
    <t>6C16-5560-AA</t>
  </si>
  <si>
    <t>6C16-5560-BA  V34x LOCAL MARKET SPRING</t>
  </si>
  <si>
    <t>6C16-5560-BA</t>
  </si>
  <si>
    <t>6C16-5560-CB  V34x LOCAL MARKET SPRING</t>
  </si>
  <si>
    <t>6C16-5560-CB</t>
  </si>
  <si>
    <t>6C16-5560-EB  V34x LOCAL MARKET SPRING</t>
  </si>
  <si>
    <t>6C16-5560-EB</t>
  </si>
  <si>
    <t>6C16-5560-JA  V34x LOCAL MARKET SPRING</t>
  </si>
  <si>
    <t>6C16-5560-JA</t>
  </si>
  <si>
    <t>6C16-5560-VA  V34x LOCAL MARKET SPRING</t>
  </si>
  <si>
    <t>6C16-5560-VA</t>
  </si>
  <si>
    <t>6C16-5560-YA  V34x LOCAL MARKET SPRING</t>
  </si>
  <si>
    <t>6C16-5560-YA</t>
  </si>
  <si>
    <t>6C16-5560-HB  V34x LOCAL MARKET SPRING</t>
  </si>
  <si>
    <t>6C16-5560-HB</t>
  </si>
  <si>
    <t>6C16-5560-UA  V34x LOCAL MARKET SPRING</t>
  </si>
  <si>
    <t>6C16-5560-UA</t>
  </si>
  <si>
    <t>6C16-5560-AAA  V34x LOCAL MARKET SPRING</t>
  </si>
  <si>
    <t>6C16-5560-AAA</t>
  </si>
  <si>
    <t>MARUTI</t>
  </si>
  <si>
    <t>41310M84121 - PARABOLIC SPRING</t>
  </si>
  <si>
    <t>41310 M 84121</t>
  </si>
  <si>
    <t>6C11-5560-BA - PARABOLIC SPRING</t>
  </si>
  <si>
    <t>6C11-5560-BA</t>
  </si>
  <si>
    <t>6C11-5560-AA - PARABOLIC SPRING</t>
  </si>
  <si>
    <t>6C11-5560-AA</t>
  </si>
  <si>
    <t>6C11-5560-KA 2006-PROGRAM</t>
  </si>
  <si>
    <t>6C11-5560-KA</t>
  </si>
  <si>
    <t>6C11-5560-HA</t>
  </si>
  <si>
    <t>6C11-5560-DA</t>
  </si>
  <si>
    <t>6C11-5560-RA</t>
  </si>
  <si>
    <t>6C11-5560-PA</t>
  </si>
  <si>
    <t>6C11-5560-CA</t>
  </si>
  <si>
    <t>6C11-5560-FA</t>
  </si>
  <si>
    <t>6C11-5560-GA</t>
  </si>
  <si>
    <t>6C11-5560-MA</t>
  </si>
  <si>
    <t>FORD-EUROPE</t>
  </si>
  <si>
    <t>6C11-5560-AB 2006-PROGRAM</t>
  </si>
  <si>
    <t>6C11-5560-AB</t>
  </si>
  <si>
    <t>6C11-5560-BB 2006-PROGRAM</t>
  </si>
  <si>
    <t>6C11-5560-BB</t>
  </si>
  <si>
    <t>6C11-5560-MB 2006-PROGRAM</t>
  </si>
  <si>
    <t>6C11-5560-MB</t>
  </si>
  <si>
    <t>6C11-5560-KB</t>
  </si>
  <si>
    <t>6C11-5560-DB 2006-PROGRAM</t>
  </si>
  <si>
    <t>6C11-5560-DB</t>
  </si>
  <si>
    <t>6C11-5560-RB 2006-PROGRAM</t>
  </si>
  <si>
    <t>6C11-5560-RB</t>
  </si>
  <si>
    <t>6C11-5560-GB 2006-PROGRAM</t>
  </si>
  <si>
    <t>6C11-5560-GB</t>
  </si>
  <si>
    <t>6C11-5560-PB 2006-PROGRAM</t>
  </si>
  <si>
    <t>6C11-5560-PB</t>
  </si>
  <si>
    <t>6C11-5560-CB 2006-PROGRAM</t>
  </si>
  <si>
    <t>6C11-5560-CB</t>
  </si>
  <si>
    <t>6C11-5560-EB 2006-PROGRAM</t>
  </si>
  <si>
    <t>6C11-5560-EB</t>
  </si>
  <si>
    <t>6C11-5560-JB 2006-PROGRAM</t>
  </si>
  <si>
    <t>6C11-5560-JB</t>
  </si>
  <si>
    <t>6C11-5560-VA 2006-PROGRAM</t>
  </si>
  <si>
    <t>6C11-5560-VA</t>
  </si>
  <si>
    <t>6C11-5560-NB 2006-PROGRAM</t>
  </si>
  <si>
    <t>6C11-5560-NB</t>
  </si>
  <si>
    <t>6C11-5560-UA 2006-PROGRAM</t>
  </si>
  <si>
    <t>6C11-5560-UA</t>
  </si>
  <si>
    <t>6C11-5560-FB 2006-PROGRAM</t>
  </si>
  <si>
    <t>6C11-5560-FB</t>
  </si>
  <si>
    <t>6C11-5560-HB 2006-PROGRAM</t>
  </si>
  <si>
    <t>6C11-5560-HB</t>
  </si>
  <si>
    <t>6C11-5560-WA 2006-PROGRAM</t>
  </si>
  <si>
    <t>6C11-5560-WA</t>
  </si>
  <si>
    <t>6C11-5560-YA 2006-PROGRAM</t>
  </si>
  <si>
    <t>6C11-5560-YA</t>
  </si>
  <si>
    <t>6C11-5560-ZA 2006-PROGRAM</t>
  </si>
  <si>
    <t>6C11-5560-ZA</t>
  </si>
  <si>
    <t>6C11-5560-XA 2006-PROGRAM</t>
  </si>
  <si>
    <t>6C11-5560-XA</t>
  </si>
  <si>
    <t>6C11-5560-AAA 2006-PROGRAM</t>
  </si>
  <si>
    <t>6C11-5560-AAA</t>
  </si>
  <si>
    <t>FORD-SVO</t>
  </si>
  <si>
    <t>6C1V-5560-AB PARABOLIC</t>
  </si>
  <si>
    <t>6C1V-5560-AB</t>
  </si>
  <si>
    <t>GENERAL MOTOR</t>
  </si>
  <si>
    <t>15084183 - HUMMER-RR-SPR.</t>
  </si>
  <si>
    <t>15153722 - GM-ML-VAN</t>
  </si>
  <si>
    <t>HUMMER 36 SR REAR</t>
  </si>
  <si>
    <t>15084183-36 SR</t>
  </si>
  <si>
    <t>15278386  HUMMER DUEL RATE REAR</t>
  </si>
  <si>
    <t>DAIMLER CHRYSLER</t>
  </si>
  <si>
    <t>REAR SPRING</t>
  </si>
  <si>
    <t>A-9493201502</t>
  </si>
  <si>
    <t>FRONT SPRING</t>
  </si>
  <si>
    <t>DICV</t>
  </si>
  <si>
    <t>585 - FRONT SPRING ASSY</t>
  </si>
  <si>
    <t>A4003200001</t>
  </si>
  <si>
    <t>573 - 6 x 2 REAR - FRONT SPRING ASSY - REDESIGNED</t>
  </si>
  <si>
    <t>A4003200806</t>
  </si>
  <si>
    <t>877-6X2 REAR -FRONT LEAF SPRING ASSY</t>
  </si>
  <si>
    <t>A4003207106</t>
  </si>
  <si>
    <t>1165 - 6X2 REAR-FRONT LEAF SPRING ASSY</t>
  </si>
  <si>
    <t>A4003209506</t>
  </si>
  <si>
    <t>1166 - 6X2 REAR-FRONT LEAF SPRING ASSY</t>
  </si>
  <si>
    <t>A4003209606</t>
  </si>
  <si>
    <t>574 - 6 x 2 REAR - FRONT SPRING ASSY - REDESIGNED</t>
  </si>
  <si>
    <t>A4003200906</t>
  </si>
  <si>
    <t>586 - FRONT SPRING ASSY</t>
  </si>
  <si>
    <t>A4003200101</t>
  </si>
  <si>
    <t>A4003209201</t>
  </si>
  <si>
    <t>523 - 6X4 BOGIE SUSPENSION REAR SPRING</t>
  </si>
  <si>
    <t>A4003200305 old</t>
  </si>
  <si>
    <t>A4003200305</t>
  </si>
  <si>
    <t>524 - 6X4 BOGIE SUSPENSION REAR SPRING</t>
  </si>
  <si>
    <t>A4003200405</t>
  </si>
  <si>
    <t>559 - 9TON FRONT SPRING ASSY</t>
  </si>
  <si>
    <t>A4003200392</t>
  </si>
  <si>
    <t>653 - 9TON RIGID FR (LH)</t>
  </si>
  <si>
    <t>A4003200602</t>
  </si>
  <si>
    <t>595 - 9TON RIGID REAR SPRING - FUSO DESIGN</t>
  </si>
  <si>
    <t>A4003200206</t>
  </si>
  <si>
    <t>596 - 12TON FRONT SPRING-FUSO DESIGN</t>
  </si>
  <si>
    <t>A4003200406</t>
  </si>
  <si>
    <t>657 - 12TON FRONT SPRING - FUSO DESIGN-RH</t>
  </si>
  <si>
    <t>A4003200802</t>
  </si>
  <si>
    <t>597 - 12TON REAR SPRING - FUSO DESIGN</t>
  </si>
  <si>
    <t>A4003200606</t>
  </si>
  <si>
    <t>565 - 12TON -1217C FR SPRING ASSY</t>
  </si>
  <si>
    <t>A4003200202</t>
  </si>
  <si>
    <t>A4003201102</t>
  </si>
  <si>
    <t>566 - 12TON -1217C REAR LEAF SPRING</t>
  </si>
  <si>
    <t>A4003200706</t>
  </si>
  <si>
    <t>640 - 6x4 BOGIE SUSPENSION PROGRESSIVE SPRING</t>
  </si>
  <si>
    <t>A4003201105</t>
  </si>
  <si>
    <t>587 - FRONT SPRING ASSY</t>
  </si>
  <si>
    <t>A4003200501</t>
  </si>
  <si>
    <t>588 - FRONT SPRING ASSY</t>
  </si>
  <si>
    <t>A4003200601</t>
  </si>
  <si>
    <t>632 - 8X4 FIRST FRONT PARABOLIC ASSY</t>
  </si>
  <si>
    <t>A4003200701</t>
  </si>
  <si>
    <t>633 - 8X4C SECOND FRONT PARABOLIC ASSY</t>
  </si>
  <si>
    <t>A4003201001</t>
  </si>
  <si>
    <t>678-8X4C HD BOLT PARABOLIC SPRING</t>
  </si>
  <si>
    <t>A4003201202</t>
  </si>
  <si>
    <t>679-8X4C HD BOLT PARABOLIC SPRING</t>
  </si>
  <si>
    <t>A4003201302</t>
  </si>
  <si>
    <t>669 - 8X4C HD MINING REAR BOGIE SPRING ASSY</t>
  </si>
  <si>
    <t>A4003201205</t>
  </si>
  <si>
    <t>631 - 8x4 MINING TIPPER BOGIE REAR SPRING</t>
  </si>
  <si>
    <t>A4003200805</t>
  </si>
  <si>
    <t>615 - 4X2 REAR SPRING</t>
  </si>
  <si>
    <t>A4003200008</t>
  </si>
  <si>
    <t>697 - 4X2 REAR SPRING ASSY - 1823R</t>
  </si>
  <si>
    <t>A4003200308</t>
  </si>
  <si>
    <t>874-HDT 40T 4X2 REAR SPRING ASSY</t>
  </si>
  <si>
    <t>A4003201208</t>
  </si>
  <si>
    <t>764 - REAR LEAF SPRING-1623C</t>
  </si>
  <si>
    <t>A4003200708 old</t>
  </si>
  <si>
    <t>A4003200708</t>
  </si>
  <si>
    <t>677 - 9 TON RIGID REAR SPRING -FUSD DESIGN</t>
  </si>
  <si>
    <t>A8313200005 OLD</t>
  </si>
  <si>
    <t>728 - PROCESS DRAWING 9TON RIGID REAR SPRONG-FUSO DESIGN</t>
  </si>
  <si>
    <t>A831200005-PP</t>
  </si>
  <si>
    <t>724 - PROCESS DRG. FOR CAB LEAF SPRING</t>
  </si>
  <si>
    <t>A4003170385</t>
  </si>
  <si>
    <t>721 - 13TON FR.SPRING ASSY.-CONSTR-LH</t>
  </si>
  <si>
    <t>A4003200902</t>
  </si>
  <si>
    <t>722 - 13TON FR.SPRING ASSY.-CONSTR-RH</t>
  </si>
  <si>
    <t>A4003200502</t>
  </si>
  <si>
    <t>736 - PROCESS DRG. FOR 12 &amp; 13 TON FR.SPRING ASSY.-CONSTR.-LH</t>
  </si>
  <si>
    <t>A4003201802</t>
  </si>
  <si>
    <t>737 - PROCESS DRG. FOR 12 &amp; 13 TON FR.SPRING ASSY.-CONSTR.-RH</t>
  </si>
  <si>
    <t>A4003201902</t>
  </si>
  <si>
    <t>603 - 16TON REAR SPRING ASSY</t>
  </si>
  <si>
    <t>A4003201006</t>
  </si>
  <si>
    <t>666 - 16TON FRONT</t>
  </si>
  <si>
    <t>A4003202106</t>
  </si>
  <si>
    <t>A4003202006</t>
  </si>
  <si>
    <t>935-19TONFRONT  SPRING ASSY</t>
  </si>
  <si>
    <t>A4003200293</t>
  </si>
  <si>
    <t>933-19TONFRONT  SPRING ASSY</t>
  </si>
  <si>
    <t>A4003200193</t>
  </si>
  <si>
    <t>916-MDT-19TON REAR SPRING ASSY</t>
  </si>
  <si>
    <t>A4003205006</t>
  </si>
  <si>
    <t>658 - FRONT PARABOLIC SPRING ASSY - AM</t>
  </si>
  <si>
    <t>A4003201801</t>
  </si>
  <si>
    <t>A4003209301</t>
  </si>
  <si>
    <t>629 - 9T. FRONT PARABOLIC SPRING</t>
  </si>
  <si>
    <t>A4003200592</t>
  </si>
  <si>
    <t>780 -9T FRONT PARABOLIC SPRING ASSY</t>
  </si>
  <si>
    <t>A8313200001</t>
  </si>
  <si>
    <t>727 - PROCESS DIAGRAM FOR 9T BUS REDUCED STIFFNESS REAR PARABOLIC SPRING</t>
  </si>
  <si>
    <t>A8313200202</t>
  </si>
  <si>
    <t>716 - 9T BUS REAR PARABOLIC ASSY</t>
  </si>
  <si>
    <t>A8313200102</t>
  </si>
  <si>
    <t>714 - 8X4C HD THUNDER BOLT FAI PARABOLIC ASSY</t>
  </si>
  <si>
    <t>A4003201602</t>
  </si>
  <si>
    <t>715 - 8X4C HD THUNDER BOLT FAI PARABOLIC ASSY</t>
  </si>
  <si>
    <t>A4003201702</t>
  </si>
  <si>
    <t>732 - PROCESS DIAGRAM FOR FRONT PARABOLIC SPRING ASSY FAI-S7T</t>
  </si>
  <si>
    <t>A4003201301</t>
  </si>
  <si>
    <t>733 - PROCESS DIAGRAM FOR FRONT PARABOLIC SPRING ASSY FA2-S7T</t>
  </si>
  <si>
    <t>A4003201401</t>
  </si>
  <si>
    <t>784 -3723R FAI FRONT PARABOLIC SPRING ASSY</t>
  </si>
  <si>
    <t>A4003205201</t>
  </si>
  <si>
    <t>785 -3723R FA  PARABOLIC SPRING ASSY</t>
  </si>
  <si>
    <t>A4003205401</t>
  </si>
  <si>
    <t xml:space="preserve">782 -1623 BUS FRONT PARABOLIC SPRING </t>
  </si>
  <si>
    <t>A8313200402</t>
  </si>
  <si>
    <t xml:space="preserve">779 -1623 BUS REAR PARABOLIC SPRING </t>
  </si>
  <si>
    <t>A8313200605</t>
  </si>
  <si>
    <t xml:space="preserve">731 - PROCESS DRAWING FOR FRONT PARABOLIC LEAF SPRING </t>
  </si>
  <si>
    <t>A4003201106</t>
  </si>
  <si>
    <t>740 - PROCESS DRAWING FOR 9T BUS REDUCED STIFFNESS REAR PARABOLIC SPRING</t>
  </si>
  <si>
    <t>A8313200002</t>
  </si>
  <si>
    <t>743 - PROCESS DRAWING FOR 1623 BUS REAR PARABOLIC LEAF SPRING</t>
  </si>
  <si>
    <t>A8313200205</t>
  </si>
  <si>
    <t xml:space="preserve">734 - PROCESS DRAWING FOR 6X2 REAR FRONT LEAF SPRING </t>
  </si>
  <si>
    <t>A4003202306</t>
  </si>
  <si>
    <t xml:space="preserve">735 - PROCESS DRG. FOR 6x2 REAR-REAR SPRING ASSY- W/O TR </t>
  </si>
  <si>
    <t>A4003202406</t>
  </si>
  <si>
    <t>841 - 8X2 35T FRONT PARABOLIC SPRING ASSY</t>
  </si>
  <si>
    <t>A4003209001</t>
  </si>
  <si>
    <t>1007-2623R FRONT PARABOLIC SPRING ASSY</t>
  </si>
  <si>
    <t>A4013200401</t>
  </si>
  <si>
    <t>A4013200201</t>
  </si>
  <si>
    <t>A4013200301</t>
  </si>
  <si>
    <t>A4003203105</t>
  </si>
  <si>
    <t>1192-4828RT BOGIE PARA REAR SPRING</t>
  </si>
  <si>
    <t>A4003204005</t>
  </si>
  <si>
    <t>1105 -FOR HDT 4828RT FRONT PAI PARABOLIC SPRING ASSY</t>
  </si>
  <si>
    <t>A4003204502</t>
  </si>
  <si>
    <t>1106 -FOR HDT 4828RT FA2 PARABOLIC SPRING ASSY</t>
  </si>
  <si>
    <t>A4003204602</t>
  </si>
  <si>
    <t>1267 - HIDT 4828RT FRONT FA1 PARABOLIC SPRING ASSY</t>
  </si>
  <si>
    <t>A4003207102</t>
  </si>
  <si>
    <t>1268 - HIDT 4828RT FA2 PARABOLIC SPRING ASSY</t>
  </si>
  <si>
    <t>A4003207202</t>
  </si>
  <si>
    <t>872- HDT 8X2 31T FRONT FAI PRABOLIC SPRING ASSY</t>
  </si>
  <si>
    <t>A4003209401</t>
  </si>
  <si>
    <t>1163 - HDT 8X2 31T/35T C FRONT FA2 PARA SPG  ASSY</t>
  </si>
  <si>
    <t>A4013202901</t>
  </si>
  <si>
    <t>873-HDT 8X2 31T SECOND FRONT PARABOLIC SPRING ASSY</t>
  </si>
  <si>
    <t>A4003209501</t>
  </si>
  <si>
    <t>843 - 6X2 REAE-REAR  SPRING ASSY</t>
  </si>
  <si>
    <t>A4003207006</t>
  </si>
  <si>
    <t>842 - 6X2 REAR-FRONT LEAF  SPRING ASSY</t>
  </si>
  <si>
    <t>A4003206906</t>
  </si>
  <si>
    <t>1164 - 6X2 REAR-FRONT LEAF SPRING ASSY</t>
  </si>
  <si>
    <t>A4003209406</t>
  </si>
  <si>
    <t>899-2040S 4X2 REAR LEAF SPRING ASSY</t>
  </si>
  <si>
    <t>A4003201408-old</t>
  </si>
  <si>
    <t>899 - 2040S 4X2 REAR LEAF SPRING ASSY</t>
  </si>
  <si>
    <t>A4003201408</t>
  </si>
  <si>
    <t>777-PROCESS DRAWING FOR 1823R 4X2REAR LEAF  SPRING</t>
  </si>
  <si>
    <t>A4003201008</t>
  </si>
  <si>
    <t>705 - 6X4 FRONT PARABOLIC SPRING ASSY</t>
  </si>
  <si>
    <t>A4003202101</t>
  </si>
  <si>
    <t>762 - 6X4C 4040K FRONT PAROLIC SPRING</t>
  </si>
  <si>
    <t>A4003206201</t>
  </si>
  <si>
    <t>PROCESS DRAWING FOR 4x2 FRONT SPRING-2040</t>
  </si>
  <si>
    <t>A4003205601</t>
  </si>
  <si>
    <t>1011-12&amp;13TON FR SPRING ASSY</t>
  </si>
  <si>
    <t>A4013215101</t>
  </si>
  <si>
    <t>1012-12 &amp;13TON FR SPRING ASSY</t>
  </si>
  <si>
    <t>A4013215201</t>
  </si>
  <si>
    <t>1038- FOR 11.12T FRONT SPRING ASSY</t>
  </si>
  <si>
    <t>A4003200393</t>
  </si>
  <si>
    <t>1039- FOR 11.12T FRONT SPRING ASSY</t>
  </si>
  <si>
    <t>A4003204102</t>
  </si>
  <si>
    <t>1015-FOR 1517 LH FRONT  PARABOLIC SPRING</t>
  </si>
  <si>
    <t>A4003208006</t>
  </si>
  <si>
    <t>1016-FOR 1517 RH FRONT  PARABOLIC SPRING</t>
  </si>
  <si>
    <t>A4003209901</t>
  </si>
  <si>
    <t>1018-FOR 1517R REAR SPRING  ASSY</t>
  </si>
  <si>
    <t>A4003208106</t>
  </si>
  <si>
    <t>1027-1517R TANKER REAR HYBRID SPRING ASSY</t>
  </si>
  <si>
    <t>A4003208506</t>
  </si>
  <si>
    <t>1000-2832CM 9.1T FRONT PARA SPRING ASY</t>
  </si>
  <si>
    <t>A4013200101</t>
  </si>
  <si>
    <t>993-8X4C2832CM REAR BOGIE SPRING</t>
  </si>
  <si>
    <t>A4003203205</t>
  </si>
  <si>
    <t>1122-3532C VAJRA BOGIE BOLSTER SPRING ASSY</t>
  </si>
  <si>
    <t>A4003203405</t>
  </si>
  <si>
    <t>1234-36 T RSW VAJRA REAR BOIGE SPRING ASSY</t>
  </si>
  <si>
    <t>A4003203605</t>
  </si>
  <si>
    <t>1123-35T VAJRA FA1 FRONT PARABOLIC SPRING ASSY</t>
  </si>
  <si>
    <t>A4003205902</t>
  </si>
  <si>
    <t>1124-35T VAJRA FA2 FRONT PARABOLIC SPRING ASSY</t>
  </si>
  <si>
    <t>A4003206102</t>
  </si>
  <si>
    <t>1125-VAJRA 28T FR PARA SPRING ASSY</t>
  </si>
  <si>
    <t>A4003206302</t>
  </si>
  <si>
    <t>1200-35TC FA1 FRONT PARA LEAF SPG ASSY</t>
  </si>
  <si>
    <t>A4003206802</t>
  </si>
  <si>
    <t>PROPEL</t>
  </si>
  <si>
    <t>1145-FRONT PARABOLIC SPRING</t>
  </si>
  <si>
    <t>AVE673112005</t>
  </si>
  <si>
    <t>1146-FRONT PARABOLIC SPRING</t>
  </si>
  <si>
    <t>AVE673112004</t>
  </si>
  <si>
    <t>ROOTS</t>
  </si>
  <si>
    <t>1095 - LIGHT DUTY LEAF SPRING ASSY</t>
  </si>
  <si>
    <t>822CS1003</t>
  </si>
  <si>
    <t>1096 - HEAVY DUTY LEAF SPRING ASSY</t>
  </si>
  <si>
    <t>822CS1004</t>
  </si>
  <si>
    <t>1204 -FIELD REPLACEMENT LEAF SPG ASSY</t>
  </si>
  <si>
    <t>TIVOLT</t>
  </si>
  <si>
    <t>1169 - FRONT PARA LEAF SPRING ASSY SPRING ASSY</t>
  </si>
  <si>
    <t>S001040091001</t>
  </si>
  <si>
    <t>1170 - REAR PARA LEAF SPRING ASSY SPRING ASSY</t>
  </si>
  <si>
    <t>S001040091009</t>
  </si>
  <si>
    <t>TVS</t>
  </si>
  <si>
    <t>1090 - PARABOLIC LEAF SPRING ASSY PRO-9</t>
  </si>
  <si>
    <t>G8090080</t>
  </si>
  <si>
    <t>QUCEV</t>
  </si>
  <si>
    <t>1113 -FOR FR PARABOLIC SPRING ASSY</t>
  </si>
  <si>
    <t>C10SS110001B</t>
  </si>
  <si>
    <t>1114 -REAR SPRING ASSY</t>
  </si>
  <si>
    <t>C10SS110002B</t>
  </si>
  <si>
    <t>AMI</t>
  </si>
  <si>
    <t>BOGIE SPRING</t>
  </si>
  <si>
    <t>LEY293 / 67010 (380200MT)</t>
  </si>
  <si>
    <t>9L TRAILER SPRING ASSY</t>
  </si>
  <si>
    <t>907-TRACTOR TRAILER REAR SPRING ASSY</t>
  </si>
  <si>
    <t>934-TRACTOR TRAILER REAR SPRING ASSY</t>
  </si>
  <si>
    <t>951350100M</t>
  </si>
  <si>
    <t>TRAILER LEAF SPRING ASSY</t>
  </si>
  <si>
    <t>497200M</t>
  </si>
  <si>
    <t>BOGIE SPRING ASSY</t>
  </si>
  <si>
    <t>VOLVO AMI PARABOLIC FRONT SPRING</t>
  </si>
  <si>
    <t>21317167-257952 (61011)</t>
  </si>
  <si>
    <t>PARABOLIC FRONT SPRING</t>
  </si>
  <si>
    <t>1583100 (61020)</t>
  </si>
  <si>
    <t>52069 - TATA ACE MAGIC FRONT SPRING ASSY</t>
  </si>
  <si>
    <t>859-SCHWING STETTER LEAF SPRING</t>
  </si>
  <si>
    <t>SCHWING STETTER LEAF SPRING ASSY</t>
  </si>
  <si>
    <t>840 - SCHWING STETTER LEAF SPRING ASSY</t>
  </si>
  <si>
    <t>TRAILER LEAF SPRING</t>
  </si>
  <si>
    <t>1163200T</t>
  </si>
  <si>
    <t>911 - 9/L TRAILER SPRING ASSY</t>
  </si>
  <si>
    <t>1240 - FOR 10/L TRAILER SPRING ASSY</t>
  </si>
  <si>
    <t>LEAF SPRING ASSY</t>
  </si>
  <si>
    <t>945 -LEAF SPRING ASSY</t>
  </si>
  <si>
    <t>1353200 (E-ROYCE)</t>
  </si>
  <si>
    <t>965- LEAF SPRING ASSY</t>
  </si>
  <si>
    <t>JAYEM AUTO</t>
  </si>
  <si>
    <t>TIPPERS&amp;TRAILERS</t>
  </si>
  <si>
    <t>TT/LS/P/0008 (63001)</t>
  </si>
  <si>
    <t>MTBL</t>
  </si>
  <si>
    <t>837 -M&amp;M 37T PUSHER FR PARA SPRING</t>
  </si>
  <si>
    <t>7401AAP01350N</t>
  </si>
  <si>
    <t>532 - FRONT SPRING ASSY-25T</t>
  </si>
  <si>
    <t>7401AAP00190N</t>
  </si>
  <si>
    <t>MTBD</t>
  </si>
  <si>
    <t>847 -T15_T20 FRONT SPRING ASSY</t>
  </si>
  <si>
    <t>7401AAP01730N</t>
  </si>
  <si>
    <t>856- T29 _BS6 BUS RRAR PARA.SPRING ASSY</t>
  </si>
  <si>
    <t>7402AAC02431N</t>
  </si>
  <si>
    <t>845 -T15_4 TYRE REAR PARA.SPRING ASSY</t>
  </si>
  <si>
    <t>7402AAC02441N</t>
  </si>
  <si>
    <t xml:space="preserve">852-PROCESS DRAWING FOR T25-T29 6TYRE BUS FR PARA. SPRING ASSY </t>
  </si>
  <si>
    <t>7401AAC02851N</t>
  </si>
  <si>
    <t>1237-T29 BS6 BUS REAR PARA SPRING ASSY</t>
  </si>
  <si>
    <t>1238-4 TYRE REAR OARA.SPRING ASSY</t>
  </si>
  <si>
    <t>1130-T25_T29 6TYRE BS6 BUS FR PARA SPRING  ASSY</t>
  </si>
  <si>
    <t>1082 - M&amp;M 37T PUSHER FR PARA.SPRING</t>
  </si>
  <si>
    <t>7401AAQ00320N</t>
  </si>
  <si>
    <t>MNAL</t>
  </si>
  <si>
    <t>540 - FRONT SPRING ASSY - 40T TIPPER HD</t>
  </si>
  <si>
    <t>7401AAP00400N</t>
  </si>
  <si>
    <t>YORK</t>
  </si>
  <si>
    <t>528 - CONV. LEAF SPRING</t>
  </si>
  <si>
    <t>ALP</t>
  </si>
  <si>
    <t>1135-TRAILER LEAF SPRING ASSY</t>
  </si>
  <si>
    <t>529 - CONV. LEAF SPRING</t>
  </si>
  <si>
    <t>U MUTHU &amp; SONS-BURMA</t>
  </si>
  <si>
    <t>FUSO BUS REAR 15 LEAVES SPRING ASSY</t>
  </si>
  <si>
    <t>JAI382-S.01</t>
  </si>
  <si>
    <t>NISSAN FRONT 12 LEAVES SPRING ASSY</t>
  </si>
  <si>
    <t>JAI382-S.03</t>
  </si>
  <si>
    <t>TKL 20 GD REAR SPRING</t>
  </si>
  <si>
    <t>JAI382-S.04</t>
  </si>
  <si>
    <t>HINO TE REAR SPRING ASSY</t>
  </si>
  <si>
    <t>JAI375-S.05</t>
  </si>
  <si>
    <t>CONVERSION 12LVS SPRING ASSY</t>
  </si>
  <si>
    <t>JAI376-S.06</t>
  </si>
  <si>
    <t>CON. SPRING ASSY - 15LVS</t>
  </si>
  <si>
    <t>JAI377-S.07</t>
  </si>
  <si>
    <t>ISUZU 6TON FRONT FRONT ASSY</t>
  </si>
  <si>
    <t>JAI382-S.08</t>
  </si>
  <si>
    <t>MITSUBISHI  FRONT SPRING ASSY</t>
  </si>
  <si>
    <t>JAI382-S.09</t>
  </si>
  <si>
    <t>AME</t>
  </si>
  <si>
    <t>1099-REAR BOGIE SPRING ASSY</t>
  </si>
  <si>
    <t>MDAR6183</t>
  </si>
  <si>
    <t>AUTOMOTIVE AXLES</t>
  </si>
  <si>
    <t>A-3280-T-C045Z  MULTI LEAF SPRING</t>
  </si>
  <si>
    <t>A-3280-T-C045Z</t>
  </si>
  <si>
    <t>A M 3172456 Leaf 1</t>
  </si>
  <si>
    <t>67-700001</t>
  </si>
  <si>
    <t>A M 3172456 Leaf 2</t>
  </si>
  <si>
    <t>67-700002</t>
  </si>
  <si>
    <t>A M 3172456 Leaf 3</t>
  </si>
  <si>
    <t>67-700003</t>
  </si>
  <si>
    <t>A M 3172456 Leaf 4</t>
  </si>
  <si>
    <t>67-700004</t>
  </si>
  <si>
    <t>A M 3172456 Leaf 5</t>
  </si>
  <si>
    <t>67-700005</t>
  </si>
  <si>
    <t>A M 3172456 Leaf 6</t>
  </si>
  <si>
    <t>67-700006</t>
  </si>
  <si>
    <t>A M 3172456 Leaf 7</t>
  </si>
  <si>
    <t>67-700007</t>
  </si>
  <si>
    <t>A M 3172456 Leaf 8</t>
  </si>
  <si>
    <t>67-700008</t>
  </si>
  <si>
    <t>A M 3172456 Leaf 9</t>
  </si>
  <si>
    <t>67-700009</t>
  </si>
  <si>
    <t>61006 / 2</t>
  </si>
  <si>
    <t>257931-20932237</t>
  </si>
  <si>
    <t>61006 / 3</t>
  </si>
  <si>
    <t>257931-20932244</t>
  </si>
  <si>
    <t>61007 / 2</t>
  </si>
  <si>
    <t>20932235-21321730</t>
  </si>
  <si>
    <t>61007 / 3</t>
  </si>
  <si>
    <t>20932245-21321730</t>
  </si>
  <si>
    <t>A M 257654  Leaf 1</t>
  </si>
  <si>
    <t>A M 257654  Leaf 2</t>
  </si>
  <si>
    <t>A M 257658  Leaf 5</t>
  </si>
  <si>
    <t>A M 257658  Leaf 6</t>
  </si>
  <si>
    <t>A M 257658  Leaf 7</t>
  </si>
  <si>
    <t>A M 257658  Leaf 8</t>
  </si>
  <si>
    <t>A M 257658  Leaf 9</t>
  </si>
  <si>
    <t>A M 257658  Leaf 10</t>
  </si>
  <si>
    <t>A M 257658  Leaf 11</t>
  </si>
  <si>
    <t>A M 257658 Leaf  3</t>
  </si>
  <si>
    <t>237658 -  1635357</t>
  </si>
  <si>
    <t>Leaf 3</t>
  </si>
  <si>
    <t>48032-OB030</t>
  </si>
  <si>
    <t>48202-OB260</t>
  </si>
  <si>
    <t>48213-0B240 3/L-241</t>
  </si>
  <si>
    <t>4508710 - Main Leaf</t>
  </si>
  <si>
    <t>B5F01601 / AUXA</t>
  </si>
  <si>
    <t>B6Y01301 / AUXA</t>
  </si>
  <si>
    <t>B6Y01301 / AUXB</t>
  </si>
  <si>
    <t>B6Y06802  / 1</t>
  </si>
  <si>
    <t>B6Y06802  / 2</t>
  </si>
  <si>
    <t>B6Y06802  / 3</t>
  </si>
  <si>
    <t>B6Y06802  / 4</t>
  </si>
  <si>
    <t>B6Y06802  / 5</t>
  </si>
  <si>
    <t>B6Y06802  / 6</t>
  </si>
  <si>
    <t>B6Y06802  / 7</t>
  </si>
  <si>
    <t>B6Y06802  / 8</t>
  </si>
  <si>
    <t>B6Y06802  / 9</t>
  </si>
  <si>
    <t>B6Y06802  / 10</t>
  </si>
  <si>
    <t>B6Y06802  / BPP1</t>
  </si>
  <si>
    <t>B6Y06802  / BPP2</t>
  </si>
  <si>
    <t>B6Y06802  / BPP3</t>
  </si>
  <si>
    <t>F9F02415 / 1</t>
  </si>
  <si>
    <t>F9F02415 / 2</t>
  </si>
  <si>
    <t>F9F02415 / 3</t>
  </si>
  <si>
    <t>F9F02415 / 4</t>
  </si>
  <si>
    <t>F9F02415 / 5</t>
  </si>
  <si>
    <t>F9F02415 / 6</t>
  </si>
  <si>
    <t>F9F02415 / 7</t>
  </si>
  <si>
    <t>F9F02415 / 8</t>
  </si>
  <si>
    <t>F9F02415 / 9</t>
  </si>
  <si>
    <t>F9F02415 / 10</t>
  </si>
  <si>
    <t>B6Y00206 / 1</t>
  </si>
  <si>
    <t>B6Y00206 / 2</t>
  </si>
  <si>
    <t>B6Y00206 / 3</t>
  </si>
  <si>
    <t>B6Y00206 / 4</t>
  </si>
  <si>
    <t>B6Y00206 / 5</t>
  </si>
  <si>
    <t>B6Y00206 / 6</t>
  </si>
  <si>
    <t>B6Y00206 / 7</t>
  </si>
  <si>
    <t>B6Y00206 / 8</t>
  </si>
  <si>
    <t>B6Y00206 / 9</t>
  </si>
  <si>
    <t>B6Y00206 / 10</t>
  </si>
  <si>
    <t>B6Y00206 / BPP1</t>
  </si>
  <si>
    <t>B6Y00206 / BPP2</t>
  </si>
  <si>
    <t>B6Y00206 / BPP3</t>
  </si>
  <si>
    <t>B5F03001 / 1</t>
  </si>
  <si>
    <t>B5F03001 / 2</t>
  </si>
  <si>
    <t>B5F03001 / 3</t>
  </si>
  <si>
    <t>B5F03001 / 4</t>
  </si>
  <si>
    <t>B5F03001 / 5</t>
  </si>
  <si>
    <t>B5F03001 / 6</t>
  </si>
  <si>
    <t>B5F03001 / 7</t>
  </si>
  <si>
    <t>B5F03001 / 8</t>
  </si>
  <si>
    <t>B5F03001 / 9</t>
  </si>
  <si>
    <t>B5F03001 / 10</t>
  </si>
  <si>
    <t>B5F03001 / 11</t>
  </si>
  <si>
    <t>B5F03001 / BPP1</t>
  </si>
  <si>
    <t>B5F03001 / BPP2</t>
  </si>
  <si>
    <t>4517510 / 14</t>
  </si>
  <si>
    <t>4517510 / 15</t>
  </si>
  <si>
    <t>4517310 / 1</t>
  </si>
  <si>
    <t>4517310 / 2</t>
  </si>
  <si>
    <t>4517310 / 3</t>
  </si>
  <si>
    <t>4517310 / 4</t>
  </si>
  <si>
    <t>4517310 / 5</t>
  </si>
  <si>
    <t>4517310 / 6</t>
  </si>
  <si>
    <t>4517310 / 7</t>
  </si>
  <si>
    <t>4517310 / 8</t>
  </si>
  <si>
    <t>4517310 / 9</t>
  </si>
  <si>
    <t>4517310 / 10</t>
  </si>
  <si>
    <t>FD300210 / 1</t>
  </si>
  <si>
    <t>FD300210 / 2</t>
  </si>
  <si>
    <t>FD300210 / 3</t>
  </si>
  <si>
    <t>FD300210 / 4</t>
  </si>
  <si>
    <t>FD300210 / 5</t>
  </si>
  <si>
    <t>FD300210 / 6</t>
  </si>
  <si>
    <t>FD300210 / 7</t>
  </si>
  <si>
    <t>FD300210 / 8</t>
  </si>
  <si>
    <t>FD300210 / 9</t>
  </si>
  <si>
    <t>FD300210 / 10</t>
  </si>
  <si>
    <t>FD300210 / 11</t>
  </si>
  <si>
    <t>FD300210 / 12</t>
  </si>
  <si>
    <t>FD300210 / 13</t>
  </si>
  <si>
    <t>FD300210 / H1</t>
  </si>
  <si>
    <t>FD300210 / H2</t>
  </si>
  <si>
    <t>FD300210 / H3</t>
  </si>
  <si>
    <t>FD300210 / H4</t>
  </si>
  <si>
    <t>FD300210 / H5</t>
  </si>
  <si>
    <t>FD300210 / H6</t>
  </si>
  <si>
    <t>FD300210 / H7</t>
  </si>
  <si>
    <t>FD300210 / H8</t>
  </si>
  <si>
    <t>FD300210 / H9</t>
  </si>
  <si>
    <t>F9F01915 / F9F02015 / 1</t>
  </si>
  <si>
    <t>F9F01915 / F9F02015 / 2</t>
  </si>
  <si>
    <t>F9F01915 / F9F02015 / 3</t>
  </si>
  <si>
    <t>F9F01915 / F9F02015 / 4</t>
  </si>
  <si>
    <t>F9F01915 / F9F02015 / 5</t>
  </si>
  <si>
    <t>F9F01915 / F9F02015 / 6</t>
  </si>
  <si>
    <t>F9F01915 / F9F02015 / 7</t>
  </si>
  <si>
    <t>F9F01915 / F9F02015 / 8</t>
  </si>
  <si>
    <t>F9F01915 / F9F02015 / 9</t>
  </si>
  <si>
    <t>F9F01915 / F9F02015 / 10</t>
  </si>
  <si>
    <t>F9F01915 / F9F02015 / 11</t>
  </si>
  <si>
    <t>F9F01915 / F9F02015 / 12</t>
  </si>
  <si>
    <t>F9F01915 / F9F02015 / PP</t>
  </si>
  <si>
    <t>FD300915 / FD301015 / 1</t>
  </si>
  <si>
    <t>FD300915 / FD301015 / 2</t>
  </si>
  <si>
    <t>FD300915 / FD301015 / 3</t>
  </si>
  <si>
    <t>FD300915 / FD301015 / 4</t>
  </si>
  <si>
    <t>FD300915 / FD301015 / 5</t>
  </si>
  <si>
    <t>FD300915 / FD301015 / 6</t>
  </si>
  <si>
    <t>FD300915 / FD301015 / 7</t>
  </si>
  <si>
    <t>FD300915 / FD301015 / 8</t>
  </si>
  <si>
    <t>FD300915 / FD301015 / 9</t>
  </si>
  <si>
    <t>FD300915 / FD301015 / 10</t>
  </si>
  <si>
    <t>FD300915 / FD301015 / 11</t>
  </si>
  <si>
    <t>FD300915 / FD301015 / 12</t>
  </si>
  <si>
    <t>FD300915 / FD301015 / 13</t>
  </si>
  <si>
    <t>FD300915 / FD301015 / 14</t>
  </si>
  <si>
    <t>FD300915 / FD301015 / 15</t>
  </si>
  <si>
    <t>Sumo - Leaf No. 1</t>
  </si>
  <si>
    <t>Sumo - Leaf No. 2</t>
  </si>
  <si>
    <t>Sumo - Leaf No. 3</t>
  </si>
  <si>
    <t>Sumo - Leaf No. 4 / PP</t>
  </si>
  <si>
    <t>CUB FT - Leaf No. 1</t>
  </si>
  <si>
    <t>Cub Ft / 1</t>
  </si>
  <si>
    <t>CUB FT - Leaf No. 2</t>
  </si>
  <si>
    <t>Cub Ft / 2</t>
  </si>
  <si>
    <t>506632400123 / 3</t>
  </si>
  <si>
    <t>506632400123 / 4</t>
  </si>
  <si>
    <t>506632400123 / 5</t>
  </si>
  <si>
    <t>506632400123 / 6</t>
  </si>
  <si>
    <t>506632400123 / 7</t>
  </si>
  <si>
    <t>506632400123 / 8</t>
  </si>
  <si>
    <t>506632400123 / 9</t>
  </si>
  <si>
    <t>506632400123 / 10</t>
  </si>
  <si>
    <t>506632400123 / 11</t>
  </si>
  <si>
    <t>506632400123 / 12</t>
  </si>
  <si>
    <t>506632400123 / 13</t>
  </si>
  <si>
    <t>506632400123 / 14</t>
  </si>
  <si>
    <t>288032400167 / 1</t>
  </si>
  <si>
    <t>288032400167 / 2</t>
  </si>
  <si>
    <t>288032400167 / 3</t>
  </si>
  <si>
    <t>288032400167 / 4</t>
  </si>
  <si>
    <t>288032400167 / 5</t>
  </si>
  <si>
    <t>288032400167 / 6</t>
  </si>
  <si>
    <t>288032400167 / 7</t>
  </si>
  <si>
    <t>288032400167 / 8</t>
  </si>
  <si>
    <t>288032400167 / 9</t>
  </si>
  <si>
    <t>288032400167 / 10</t>
  </si>
  <si>
    <t>288032400167 / 11</t>
  </si>
  <si>
    <t>288032400167 / 12</t>
  </si>
  <si>
    <t>217132400101 / 1</t>
  </si>
  <si>
    <t>217132400101 / 2</t>
  </si>
  <si>
    <t>506632400102 / 3</t>
  </si>
  <si>
    <t>506632400102 / 4</t>
  </si>
  <si>
    <t>506632400102 / 5</t>
  </si>
  <si>
    <t>506632400102 / 6</t>
  </si>
  <si>
    <t>506632400102 / 7</t>
  </si>
  <si>
    <t>506632400102 / 8</t>
  </si>
  <si>
    <t>506632400102 / 9</t>
  </si>
  <si>
    <t>506632400102 / 10</t>
  </si>
  <si>
    <t>506632400102 / 11</t>
  </si>
  <si>
    <t>506632400102 / 12</t>
  </si>
  <si>
    <t>217132400101 / RL</t>
  </si>
  <si>
    <t>LPT 1613 FRONT</t>
  </si>
  <si>
    <t>263232100130 / 1</t>
  </si>
  <si>
    <t>263232100130 / 2</t>
  </si>
  <si>
    <t>263232100130 / 3</t>
  </si>
  <si>
    <t>263232100130 / 4</t>
  </si>
  <si>
    <t>263232100130 / 5</t>
  </si>
  <si>
    <t>263232100130 / 6</t>
  </si>
  <si>
    <t>263232100130 / 7</t>
  </si>
  <si>
    <t>263232100130 / 8</t>
  </si>
  <si>
    <t>263232100130 / 9</t>
  </si>
  <si>
    <t>263232100130 / 10</t>
  </si>
  <si>
    <t>263232100130 / 11</t>
  </si>
  <si>
    <t>263232100130 / PP1</t>
  </si>
  <si>
    <t>263232100130 / PP2</t>
  </si>
  <si>
    <t>263232400116 / 1</t>
  </si>
  <si>
    <t>263232400116 / 2</t>
  </si>
  <si>
    <t>263232400116 / 3</t>
  </si>
  <si>
    <t>263232400116 / 4</t>
  </si>
  <si>
    <t>263232400116 / 5</t>
  </si>
  <si>
    <t>263232400116 / 6</t>
  </si>
  <si>
    <t>263232400116 / 7</t>
  </si>
  <si>
    <t>263232400116 / 8</t>
  </si>
  <si>
    <t>263232400116 / 9</t>
  </si>
  <si>
    <t>263232400116 / 10</t>
  </si>
  <si>
    <t>263232400116 / 11</t>
  </si>
  <si>
    <t>263232400116 / 12</t>
  </si>
  <si>
    <t>263232400116 / 13</t>
  </si>
  <si>
    <t>263232400116 / H1</t>
  </si>
  <si>
    <t>263232400116 / H2</t>
  </si>
  <si>
    <t>263232400116 / H3</t>
  </si>
  <si>
    <t>263232400114 / 2</t>
  </si>
  <si>
    <t>263232400118 / 1</t>
  </si>
  <si>
    <t>263232400118 / 2</t>
  </si>
  <si>
    <t>263232400118 / 3</t>
  </si>
  <si>
    <t>263232400118 / 4</t>
  </si>
  <si>
    <t>263232400118 / 5</t>
  </si>
  <si>
    <t>263232400118 / 6</t>
  </si>
  <si>
    <t>263232400118 / 7</t>
  </si>
  <si>
    <t>263232400118 / 8</t>
  </si>
  <si>
    <t>263232400118 / 9</t>
  </si>
  <si>
    <t>263232400118 / 10</t>
  </si>
  <si>
    <t>263232400118 / H1</t>
  </si>
  <si>
    <t>263232400118 / H2</t>
  </si>
  <si>
    <t>263232400118 / H3</t>
  </si>
  <si>
    <t>LPK 2518 TC REAR</t>
  </si>
  <si>
    <t>217132400104 / 1</t>
  </si>
  <si>
    <t>217132400104 / 2</t>
  </si>
  <si>
    <t>217132400104 / 3</t>
  </si>
  <si>
    <t>217132400104 / 4</t>
  </si>
  <si>
    <t>217132400104 / 5</t>
  </si>
  <si>
    <t>217132400104 / 6</t>
  </si>
  <si>
    <t>217132400104 / 7</t>
  </si>
  <si>
    <t>217132400104 / 8</t>
  </si>
  <si>
    <t>217132400104 / 9</t>
  </si>
  <si>
    <t>217132400104 / 10</t>
  </si>
  <si>
    <t>217132400104 / 11</t>
  </si>
  <si>
    <t>217132400104 / PP</t>
  </si>
  <si>
    <t>217132400104 / RL</t>
  </si>
  <si>
    <t>4SP - Leaf No. 1</t>
  </si>
  <si>
    <t>4SP - Leaf No. 2</t>
  </si>
  <si>
    <t>4SP - Leaf No. 3</t>
  </si>
  <si>
    <t>4SP - Leaf No. 4 / PP</t>
  </si>
  <si>
    <t>088 - TOYOTA HILUX REAR</t>
  </si>
  <si>
    <t>64008 - Leaf No. 1</t>
  </si>
  <si>
    <t>089 - TOYOTA HILUX REAR</t>
  </si>
  <si>
    <t>64008 - Leaf No. 2</t>
  </si>
  <si>
    <t>090 - TOYOTA HILUX REAR</t>
  </si>
  <si>
    <t>64008 - Leaf No. 3</t>
  </si>
  <si>
    <t>102 - TOYOTA VAN REAR</t>
  </si>
  <si>
    <t>64009 - Leaf No. 1</t>
  </si>
  <si>
    <t>103 - TOYOTA VAN REAR</t>
  </si>
  <si>
    <t>64009 - Leaf No. 2</t>
  </si>
  <si>
    <t>104 - SUNNY REAR</t>
  </si>
  <si>
    <t>64010 - Leaf No. 1</t>
  </si>
  <si>
    <t>105 - SUNNY REAR</t>
  </si>
  <si>
    <t>64010 - Leaf No. 2</t>
  </si>
  <si>
    <t>098 - MIGHTY REAR</t>
  </si>
  <si>
    <t>64011 - Leaf No. 1</t>
  </si>
  <si>
    <t>099 - MIGHTY REAR</t>
  </si>
  <si>
    <t>64011 - Leaf No. 2</t>
  </si>
  <si>
    <t>011 - NISSAN 14T REAR</t>
  </si>
  <si>
    <t>64012 - Leaf No. 1</t>
  </si>
  <si>
    <t>012 - NISSAN 14T REAR</t>
  </si>
  <si>
    <t>64012 - Leaf No. 2</t>
  </si>
  <si>
    <t>013 - NISSAN 14T REAR</t>
  </si>
  <si>
    <t>64012 - Leaf No. 3</t>
  </si>
  <si>
    <t>035 - TKL 20 GD FRONT</t>
  </si>
  <si>
    <t>64013 - Leaf No. 1</t>
  </si>
  <si>
    <t>018 - TKL 20 GD REAR</t>
  </si>
  <si>
    <t>64014 - Leaf No. 1</t>
  </si>
  <si>
    <t>019 - TKL 20 GD REAR</t>
  </si>
  <si>
    <t>64014 - Leaf No. 2</t>
  </si>
  <si>
    <t>036 - TKL 20 GD REAR</t>
  </si>
  <si>
    <t>64014 - Leaf No. 3</t>
  </si>
  <si>
    <t>037 - TKL 20 GD REAR</t>
  </si>
  <si>
    <t>64014 - Leaf No. 4</t>
  </si>
  <si>
    <t>038 - TKL 20 GD REAR</t>
  </si>
  <si>
    <t>64014 - Leaf No. 5</t>
  </si>
  <si>
    <t>039 - TKL 20 GD REAR</t>
  </si>
  <si>
    <t>64014 - Leaf No. 6</t>
  </si>
  <si>
    <t>040 - TKL 20 GD REAR</t>
  </si>
  <si>
    <t>64014 - Leaf No. 7</t>
  </si>
  <si>
    <t>041 - TKL 20 GD REAR</t>
  </si>
  <si>
    <t>64014 - Leaf No. 8</t>
  </si>
  <si>
    <t>TKL 20 GD REAR</t>
  </si>
  <si>
    <t>64014 - Leaf No. 9</t>
  </si>
  <si>
    <t>001 - FUSO BUS REAR 15 LEAVES SPRING ASSY</t>
  </si>
  <si>
    <t>64015 - Leaf No. 1</t>
  </si>
  <si>
    <t>002 - FUSO BUS REAR 15 LEAVES SPRING ASSY</t>
  </si>
  <si>
    <t>64015 - Leaf No. 2</t>
  </si>
  <si>
    <t>007 - FUSO BUS REAR 15 LEAVES SPRING ASSY</t>
  </si>
  <si>
    <t>64015 - Leaf No. 3</t>
  </si>
  <si>
    <t>008 - FUSO BUS REAR 15 LEAVES SPRING ASSY</t>
  </si>
  <si>
    <t>64015 - Leaf No. 4</t>
  </si>
  <si>
    <t>009 - FUSO BUS REAR 15 LEAVES SPRING ASSY</t>
  </si>
  <si>
    <t>64015 - Leaf No. 5</t>
  </si>
  <si>
    <t>003 - HINO BUS REAR LEAF SPRING</t>
  </si>
  <si>
    <t>64017 - Leaf No. 1</t>
  </si>
  <si>
    <t>004 - HINO BUS REAR LEAF SPRING</t>
  </si>
  <si>
    <t>64017 - Leaf No. 2</t>
  </si>
  <si>
    <t>005 - ISZUSU BUS REAR LEAF SPRING</t>
  </si>
  <si>
    <t>64018 - Leaf No. 1</t>
  </si>
  <si>
    <t>006 - ISZUSU BUS REAR LEAF SPRING</t>
  </si>
  <si>
    <t>64018 - Leaf No. 2</t>
  </si>
  <si>
    <t>020 - NISSAN FRONT</t>
  </si>
  <si>
    <t>64016 - Leaf No. 1</t>
  </si>
  <si>
    <t>021 - NISSAN FRONT</t>
  </si>
  <si>
    <t>64016 - Leaf No. 2</t>
  </si>
  <si>
    <t>016 - NISSAN TRUCK REAR</t>
  </si>
  <si>
    <t>64022 - Leaf No. 1</t>
  </si>
  <si>
    <t>017 - NISSAN TRUCK REAR</t>
  </si>
  <si>
    <t>64022 - Leaf No. 2</t>
  </si>
  <si>
    <t>022 - HINO 59" FRONT LEAF</t>
  </si>
  <si>
    <t>64023 - Leaf No. 1</t>
  </si>
  <si>
    <t>023 - HINO 59" FRONT LEAF</t>
  </si>
  <si>
    <t>64023 - Leaf No. 2</t>
  </si>
  <si>
    <t>026 - FUSO 57" FRONT LEAF</t>
  </si>
  <si>
    <t>64024 - Leaf No. 1</t>
  </si>
  <si>
    <t>027 - FUSO 57" FRONT LEAF</t>
  </si>
  <si>
    <t>64024 - Leaf No. 2</t>
  </si>
  <si>
    <t>052 - HINO TE REAR SPRING ASSY</t>
  </si>
  <si>
    <t>64007 - Leaf No. 3</t>
  </si>
  <si>
    <t>053 - HINO TE REAR SPRING ASSY</t>
  </si>
  <si>
    <t>64007 - Leaf No. 4</t>
  </si>
  <si>
    <t>054 - HINO TE REAR SPRING ASSY</t>
  </si>
  <si>
    <t>64007 - Leaf No. 5</t>
  </si>
  <si>
    <t>055 - HINO TE REAR SPRING ASSY</t>
  </si>
  <si>
    <t>64007 - Leaf No. 6</t>
  </si>
  <si>
    <t>034 - TKL 20 GD REAR No.03</t>
  </si>
  <si>
    <t xml:space="preserve">64021 -  NO.3 </t>
  </si>
  <si>
    <t>After Market</t>
  </si>
  <si>
    <t>part_number</t>
  </si>
  <si>
    <t>weight</t>
  </si>
  <si>
    <t>name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</si>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</sst>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&quot;Rs&quot;* #,##0.00_);_(&quot;Rs&quot;* \(#,##0.00\);_(&quot;Rs&quot;* &quot;-&quot;??_);_(@_)"/>
  </numFmts>
  <fonts count="8" x14ac:knownFonts="1">
    <font>
      <sz val="10"/>
      <name val="Arial"/>
    </font>
    <font>
      <sz val="12"/>
      <color indexed="8"/>
      <name val="Arial"/>
      <family val="2"/>
    </font>
    <font>
      <sz val="14"/>
      <name val="Arial"/>
      <family val="2"/>
    </font>
    <font>
      <sz val="10"/>
      <name val="Arial"/>
      <family val="2"/>
    </font>
    <font>
      <i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80">
    <xf numFmtId="0" fontId="0" fillId="0" borderId="0" xfId="0"/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5" fillId="7" borderId="1" xfId="0" applyFont="1" applyFill="1" applyBorder="1" applyAlignment="1" applyProtection="1">
      <alignment horizontal="left"/>
    </xf>
    <xf numFmtId="0" fontId="7" fillId="7" borderId="1" xfId="0" applyFont="1" applyFill="1" applyBorder="1" applyAlignment="1" applyProtection="1">
      <alignment horizontal="left"/>
    </xf>
    <xf numFmtId="164" fontId="7" fillId="8" borderId="1" xfId="0" applyNumberFormat="1" applyFont="1" applyFill="1" applyBorder="1" applyAlignment="1" applyProtection="1">
      <alignment horizontal="right"/>
    </xf>
    <xf numFmtId="164" fontId="7" fillId="7" borderId="1" xfId="0" applyNumberFormat="1" applyFont="1" applyFill="1" applyBorder="1" applyAlignment="1" applyProtection="1">
      <alignment horizontal="right"/>
    </xf>
    <xf numFmtId="2" fontId="7" fillId="6" borderId="1" xfId="0" applyNumberFormat="1" applyFont="1" applyFill="1" applyBorder="1" applyAlignment="1" applyProtection="1">
      <alignment horizontal="right"/>
    </xf>
    <xf numFmtId="164" fontId="7" fillId="6" borderId="1" xfId="0" applyNumberFormat="1" applyFont="1" applyFill="1" applyBorder="1" applyAlignment="1" applyProtection="1">
      <alignment horizontal="right"/>
    </xf>
    <xf numFmtId="164" fontId="7" fillId="9" borderId="1" xfId="0" applyNumberFormat="1" applyFont="1" applyFill="1" applyBorder="1" applyAlignment="1" applyProtection="1">
      <alignment horizontal="right"/>
    </xf>
    <xf numFmtId="0" fontId="5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164" fontId="7" fillId="6" borderId="1" xfId="0" applyNumberFormat="1" applyFont="1" applyFill="1" applyBorder="1" applyAlignment="1">
      <alignment horizontal="right"/>
    </xf>
    <xf numFmtId="164" fontId="7" fillId="9" borderId="1" xfId="0" applyNumberFormat="1" applyFont="1" applyFill="1" applyBorder="1" applyAlignment="1">
      <alignment horizontal="right"/>
    </xf>
    <xf numFmtId="1" fontId="7" fillId="7" borderId="1" xfId="0" applyNumberFormat="1" applyFont="1" applyFill="1" applyBorder="1" applyAlignment="1">
      <alignment horizontal="left"/>
    </xf>
    <xf numFmtId="164" fontId="7" fillId="7" borderId="1" xfId="0" applyNumberFormat="1" applyFont="1" applyFill="1" applyBorder="1" applyAlignment="1">
      <alignment horizontal="right"/>
    </xf>
    <xf numFmtId="1" fontId="5" fillId="7" borderId="1" xfId="0" applyNumberFormat="1" applyFont="1" applyFill="1" applyBorder="1" applyAlignment="1">
      <alignment horizontal="left"/>
    </xf>
    <xf numFmtId="164" fontId="7" fillId="11" borderId="1" xfId="0" applyNumberFormat="1" applyFont="1" applyFill="1" applyBorder="1" applyAlignment="1" applyProtection="1">
      <alignment horizontal="right"/>
    </xf>
    <xf numFmtId="164" fontId="7" fillId="12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/>
    </xf>
    <xf numFmtId="164" fontId="7" fillId="13" borderId="1" xfId="0" applyNumberFormat="1" applyFont="1" applyFill="1" applyBorder="1" applyAlignment="1">
      <alignment horizontal="right"/>
    </xf>
    <xf numFmtId="164" fontId="7" fillId="11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1" fontId="6" fillId="7" borderId="1" xfId="0" applyNumberFormat="1" applyFont="1" applyFill="1" applyBorder="1" applyAlignment="1">
      <alignment horizontal="left"/>
    </xf>
    <xf numFmtId="164" fontId="7" fillId="8" borderId="1" xfId="0" applyNumberFormat="1" applyFont="1" applyFill="1" applyBorder="1" applyAlignment="1">
      <alignment horizontal="right"/>
    </xf>
    <xf numFmtId="164" fontId="7" fillId="14" borderId="1" xfId="0" applyNumberFormat="1" applyFont="1" applyFill="1" applyBorder="1" applyAlignment="1">
      <alignment horizontal="right"/>
    </xf>
    <xf numFmtId="0" fontId="0" fillId="16" borderId="1" xfId="0" applyFill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3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164" fontId="7" fillId="10" borderId="1" xfId="0" applyNumberFormat="1" applyFont="1" applyFill="1" applyBorder="1" applyAlignment="1">
      <alignment horizontal="right"/>
    </xf>
    <xf numFmtId="0" fontId="6" fillId="18" borderId="1" xfId="0" applyFont="1" applyFill="1" applyBorder="1" applyAlignment="1">
      <alignment horizontal="left"/>
    </xf>
    <xf numFmtId="164" fontId="7" fillId="17" borderId="1" xfId="0" applyNumberFormat="1" applyFont="1" applyFill="1" applyBorder="1" applyAlignment="1">
      <alignment horizontal="right"/>
    </xf>
    <xf numFmtId="164" fontId="7" fillId="13" borderId="1" xfId="0" applyNumberFormat="1" applyFont="1" applyFill="1" applyBorder="1" applyAlignment="1" applyProtection="1">
      <alignment horizontal="right"/>
    </xf>
    <xf numFmtId="1" fontId="7" fillId="7" borderId="1" xfId="0" applyNumberFormat="1" applyFont="1" applyFill="1" applyBorder="1" applyAlignment="1" applyProtection="1">
      <alignment horizontal="left"/>
    </xf>
    <xf numFmtId="0" fontId="2" fillId="7" borderId="1" xfId="0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1" fontId="7" fillId="15" borderId="1" xfId="0" applyNumberFormat="1" applyFont="1" applyFill="1" applyBorder="1" applyAlignment="1">
      <alignment horizontal="left"/>
    </xf>
    <xf numFmtId="164" fontId="7" fillId="19" borderId="1" xfId="0" applyNumberFormat="1" applyFont="1" applyFill="1" applyBorder="1" applyAlignment="1">
      <alignment horizontal="right"/>
    </xf>
    <xf numFmtId="165" fontId="5" fillId="7" borderId="1" xfId="1" applyFont="1" applyFill="1" applyBorder="1" applyAlignment="1" applyProtection="1">
      <alignment horizontal="left"/>
    </xf>
    <xf numFmtId="1" fontId="7" fillId="7" borderId="1" xfId="0" quotePrefix="1" applyNumberFormat="1" applyFont="1" applyFill="1" applyBorder="1" applyAlignment="1">
      <alignment horizontal="left"/>
    </xf>
    <xf numFmtId="0" fontId="2" fillId="17" borderId="1" xfId="0" applyFont="1" applyFill="1" applyBorder="1" applyAlignment="1">
      <alignment horizontal="left"/>
    </xf>
    <xf numFmtId="1" fontId="7" fillId="17" borderId="1" xfId="0" applyNumberFormat="1" applyFont="1" applyFill="1" applyBorder="1" applyAlignment="1">
      <alignment horizontal="left"/>
    </xf>
    <xf numFmtId="1" fontId="7" fillId="3" borderId="1" xfId="0" applyNumberFormat="1" applyFont="1" applyFill="1" applyBorder="1" applyAlignment="1">
      <alignment horizontal="left"/>
    </xf>
    <xf numFmtId="0" fontId="3" fillId="7" borderId="1" xfId="0" applyFont="1" applyFill="1" applyBorder="1"/>
    <xf numFmtId="1" fontId="7" fillId="14" borderId="1" xfId="0" applyNumberFormat="1" applyFont="1" applyFill="1" applyBorder="1" applyAlignment="1">
      <alignment horizontal="left"/>
    </xf>
    <xf numFmtId="164" fontId="7" fillId="5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" fontId="7" fillId="6" borderId="1" xfId="0" applyNumberFormat="1" applyFont="1" applyFill="1" applyBorder="1" applyAlignment="1">
      <alignment horizontal="left"/>
    </xf>
    <xf numFmtId="0" fontId="3" fillId="18" borderId="1" xfId="0" applyFont="1" applyFill="1" applyBorder="1" applyAlignment="1">
      <alignment horizontal="left"/>
    </xf>
    <xf numFmtId="1" fontId="7" fillId="18" borderId="1" xfId="0" applyNumberFormat="1" applyFont="1" applyFill="1" applyBorder="1" applyAlignment="1">
      <alignment horizontal="left"/>
    </xf>
    <xf numFmtId="164" fontId="7" fillId="18" borderId="1" xfId="0" applyNumberFormat="1" applyFont="1" applyFill="1" applyBorder="1" applyAlignment="1">
      <alignment horizontal="right"/>
    </xf>
    <xf numFmtId="0" fontId="5" fillId="20" borderId="1" xfId="0" applyFont="1" applyFill="1" applyBorder="1" applyAlignment="1" applyProtection="1">
      <alignment horizontal="left"/>
    </xf>
    <xf numFmtId="0" fontId="5" fillId="21" borderId="1" xfId="0" applyFont="1" applyFill="1" applyBorder="1" applyAlignment="1">
      <alignment horizontal="left"/>
    </xf>
    <xf numFmtId="0" fontId="7" fillId="21" borderId="1" xfId="0" applyFont="1" applyFill="1" applyBorder="1" applyAlignment="1">
      <alignment horizontal="left"/>
    </xf>
    <xf numFmtId="164" fontId="7" fillId="21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/>
    </xf>
    <xf numFmtId="1" fontId="7" fillId="4" borderId="1" xfId="0" applyNumberFormat="1" applyFont="1" applyFill="1" applyBorder="1" applyAlignment="1">
      <alignment horizontal="left"/>
    </xf>
    <xf numFmtId="0" fontId="5" fillId="20" borderId="1" xfId="0" applyFont="1" applyFill="1" applyBorder="1" applyAlignment="1">
      <alignment horizontal="left"/>
    </xf>
    <xf numFmtId="1" fontId="7" fillId="20" borderId="1" xfId="0" applyNumberFormat="1" applyFont="1" applyFill="1" applyBorder="1" applyAlignment="1">
      <alignment horizontal="left"/>
    </xf>
    <xf numFmtId="164" fontId="7" fillId="20" borderId="1" xfId="0" applyNumberFormat="1" applyFont="1" applyFill="1" applyBorder="1" applyAlignment="1">
      <alignment horizontal="right"/>
    </xf>
    <xf numFmtId="0" fontId="0" fillId="20" borderId="1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5" fillId="20" borderId="3" xfId="0" applyFont="1" applyFill="1" applyBorder="1" applyAlignment="1" applyProtection="1">
      <alignment horizontal="left"/>
    </xf>
    <xf numFmtId="0" fontId="0" fillId="20" borderId="3" xfId="0" applyFont="1" applyFill="1" applyBorder="1" applyAlignment="1">
      <alignment horizontal="left"/>
    </xf>
    <xf numFmtId="164" fontId="7" fillId="20" borderId="3" xfId="0" applyNumberFormat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2"/>
  <sheetViews>
    <sheetView showZeros="0" tabSelected="1" zoomScale="80" zoomScaleNormal="80" zoomScaleSheetLayoutView="50" workbookViewId="0">
      <pane xSplit="3" ySplit="1" topLeftCell="D553" activePane="bottomRight" state="frozen"/>
      <selection activeCell="M86" sqref="M86"/>
      <selection pane="topRight" activeCell="M86" sqref="M86"/>
      <selection pane="bottomLeft" activeCell="M86" sqref="M86"/>
      <selection pane="bottomRight" activeCell="D559" sqref="D559"/>
    </sheetView>
  </sheetViews>
  <sheetFormatPr defaultRowHeight="13.2" x14ac:dyDescent="0.25"/>
  <cols>
    <col min="1" max="1" width="27.44140625" style="74" customWidth="1"/>
    <col min="2" max="2" width="33.44140625" customWidth="1"/>
    <col min="3" max="3" width="29.109375" bestFit="1" customWidth="1"/>
    <col min="4" max="4" width="12.5546875" customWidth="1"/>
  </cols>
  <sheetData>
    <row r="1" spans="1:4" ht="43.2" customHeight="1" x14ac:dyDescent="0.25">
      <c r="A1" s="2" t="s">
        <v>1515</v>
      </c>
      <c r="B1" s="2" t="s">
        <v>1517</v>
      </c>
      <c r="C1" s="1" t="s">
        <v>1518</v>
      </c>
      <c r="D1" s="3" t="s">
        <v>1516</v>
      </c>
    </row>
    <row r="2" spans="1:4" ht="20.25" customHeight="1" x14ac:dyDescent="0.3">
      <c r="A2" s="5" t="s">
        <v>2</v>
      </c>
      <c r="B2" s="4" t="s">
        <v>1</v>
      </c>
      <c r="C2" s="4" t="s">
        <v>0</v>
      </c>
      <c r="D2" s="6">
        <v>63.794513295707716</v>
      </c>
    </row>
    <row r="3" spans="1:4" ht="20.25" customHeight="1" x14ac:dyDescent="0.3">
      <c r="A3" s="5">
        <v>4500214</v>
      </c>
      <c r="B3" s="4" t="s">
        <v>3</v>
      </c>
      <c r="C3" s="4" t="s">
        <v>0</v>
      </c>
      <c r="D3" s="7">
        <v>55.624336226805056</v>
      </c>
    </row>
    <row r="4" spans="1:4" ht="20.25" customHeight="1" x14ac:dyDescent="0.3">
      <c r="A4" s="5" t="s">
        <v>5</v>
      </c>
      <c r="B4" s="4" t="s">
        <v>4</v>
      </c>
      <c r="C4" s="4" t="s">
        <v>0</v>
      </c>
      <c r="D4" s="8">
        <v>79.663163613777314</v>
      </c>
    </row>
    <row r="5" spans="1:4" ht="20.25" customHeight="1" x14ac:dyDescent="0.3">
      <c r="A5" s="5" t="s">
        <v>7</v>
      </c>
      <c r="B5" s="4" t="s">
        <v>6</v>
      </c>
      <c r="C5" s="4" t="s">
        <v>0</v>
      </c>
      <c r="D5" s="8">
        <v>103.16696185510763</v>
      </c>
    </row>
    <row r="6" spans="1:4" ht="20.25" customHeight="1" x14ac:dyDescent="0.3">
      <c r="A6" s="5" t="s">
        <v>9</v>
      </c>
      <c r="B6" s="4" t="s">
        <v>8</v>
      </c>
      <c r="C6" s="4" t="s">
        <v>0</v>
      </c>
      <c r="D6" s="7">
        <v>81.505347423022712</v>
      </c>
    </row>
    <row r="7" spans="1:4" ht="20.25" customHeight="1" x14ac:dyDescent="0.3">
      <c r="A7" s="5" t="s">
        <v>11</v>
      </c>
      <c r="B7" s="4" t="s">
        <v>10</v>
      </c>
      <c r="C7" s="4" t="s">
        <v>0</v>
      </c>
      <c r="D7" s="7">
        <v>141.23927911752602</v>
      </c>
    </row>
    <row r="8" spans="1:4" ht="20.25" customHeight="1" x14ac:dyDescent="0.3">
      <c r="A8" s="5" t="s">
        <v>13</v>
      </c>
      <c r="B8" s="4" t="s">
        <v>12</v>
      </c>
      <c r="C8" s="4" t="s">
        <v>0</v>
      </c>
      <c r="D8" s="9">
        <v>69.904746681366049</v>
      </c>
    </row>
    <row r="9" spans="1:4" ht="21.75" customHeight="1" x14ac:dyDescent="0.3">
      <c r="A9" s="5" t="s">
        <v>15</v>
      </c>
      <c r="B9" s="4" t="s">
        <v>14</v>
      </c>
      <c r="C9" s="4" t="s">
        <v>0</v>
      </c>
      <c r="D9" s="9">
        <v>130.69607709165902</v>
      </c>
    </row>
    <row r="10" spans="1:4" ht="21.75" customHeight="1" x14ac:dyDescent="0.3">
      <c r="A10" s="5" t="s">
        <v>16</v>
      </c>
      <c r="B10" s="4" t="s">
        <v>14</v>
      </c>
      <c r="C10" s="4" t="s">
        <v>0</v>
      </c>
      <c r="D10" s="10">
        <f>+D9</f>
        <v>130.69607709165902</v>
      </c>
    </row>
    <row r="11" spans="1:4" ht="20.25" customHeight="1" x14ac:dyDescent="0.3">
      <c r="A11" s="12" t="s">
        <v>18</v>
      </c>
      <c r="B11" s="11" t="s">
        <v>17</v>
      </c>
      <c r="C11" s="4" t="s">
        <v>0</v>
      </c>
      <c r="D11" s="13">
        <v>106.72799603119675</v>
      </c>
    </row>
    <row r="12" spans="1:4" ht="20.25" customHeight="1" x14ac:dyDescent="0.3">
      <c r="A12" s="12" t="s">
        <v>20</v>
      </c>
      <c r="B12" s="11" t="s">
        <v>19</v>
      </c>
      <c r="C12" s="4" t="s">
        <v>0</v>
      </c>
      <c r="D12" s="14">
        <f>+D11</f>
        <v>106.72799603119675</v>
      </c>
    </row>
    <row r="13" spans="1:4" ht="20.25" customHeight="1" x14ac:dyDescent="0.3">
      <c r="A13" s="5">
        <v>4508210</v>
      </c>
      <c r="B13" s="4" t="s">
        <v>21</v>
      </c>
      <c r="C13" s="4" t="s">
        <v>0</v>
      </c>
      <c r="D13" s="7">
        <v>93.257914637529993</v>
      </c>
    </row>
    <row r="14" spans="1:4" ht="20.25" customHeight="1" x14ac:dyDescent="0.3">
      <c r="A14" s="5" t="s">
        <v>22</v>
      </c>
      <c r="B14" s="4" t="s">
        <v>21</v>
      </c>
      <c r="C14" s="4" t="s">
        <v>0</v>
      </c>
      <c r="D14" s="7">
        <f>+D13</f>
        <v>93.257914637529993</v>
      </c>
    </row>
    <row r="15" spans="1:4" ht="20.25" customHeight="1" x14ac:dyDescent="0.3">
      <c r="A15" s="5">
        <v>4512610</v>
      </c>
      <c r="B15" s="4" t="s">
        <v>23</v>
      </c>
      <c r="C15" s="4" t="s">
        <v>0</v>
      </c>
      <c r="D15" s="7">
        <f>+D17</f>
        <v>96.866634454310017</v>
      </c>
    </row>
    <row r="16" spans="1:4" ht="20.25" customHeight="1" x14ac:dyDescent="0.3">
      <c r="A16" s="15">
        <v>4512710</v>
      </c>
      <c r="B16" s="11" t="s">
        <v>24</v>
      </c>
      <c r="C16" s="4" t="s">
        <v>0</v>
      </c>
      <c r="D16" s="7">
        <f>+D18</f>
        <v>82.846781935136988</v>
      </c>
    </row>
    <row r="17" spans="1:4" ht="20.25" customHeight="1" x14ac:dyDescent="0.3">
      <c r="A17" s="5" t="s">
        <v>25</v>
      </c>
      <c r="B17" s="4" t="s">
        <v>23</v>
      </c>
      <c r="C17" s="4" t="s">
        <v>0</v>
      </c>
      <c r="D17" s="7">
        <v>96.866634454310017</v>
      </c>
    </row>
    <row r="18" spans="1:4" ht="20.25" customHeight="1" x14ac:dyDescent="0.3">
      <c r="A18" s="15" t="s">
        <v>26</v>
      </c>
      <c r="B18" s="11" t="s">
        <v>24</v>
      </c>
      <c r="C18" s="4" t="s">
        <v>0</v>
      </c>
      <c r="D18" s="16">
        <v>82.846781935136988</v>
      </c>
    </row>
    <row r="19" spans="1:4" ht="20.25" customHeight="1" x14ac:dyDescent="0.3">
      <c r="A19" s="12" t="s">
        <v>28</v>
      </c>
      <c r="B19" s="11" t="s">
        <v>27</v>
      </c>
      <c r="C19" s="4" t="s">
        <v>0</v>
      </c>
      <c r="D19" s="13">
        <v>73.812032817907863</v>
      </c>
    </row>
    <row r="20" spans="1:4" ht="20.25" customHeight="1" x14ac:dyDescent="0.3">
      <c r="A20" s="12">
        <v>4509810</v>
      </c>
      <c r="B20" s="11" t="s">
        <v>29</v>
      </c>
      <c r="C20" s="4" t="s">
        <v>0</v>
      </c>
      <c r="D20" s="13">
        <v>17.898993141719998</v>
      </c>
    </row>
    <row r="21" spans="1:4" ht="20.25" customHeight="1" x14ac:dyDescent="0.3">
      <c r="A21" s="12">
        <v>4514410</v>
      </c>
      <c r="B21" s="11" t="s">
        <v>30</v>
      </c>
      <c r="C21" s="4" t="s">
        <v>0</v>
      </c>
      <c r="D21" s="16">
        <v>18.141093141719999</v>
      </c>
    </row>
    <row r="22" spans="1:4" ht="20.25" customHeight="1" x14ac:dyDescent="0.3">
      <c r="A22" s="12" t="s">
        <v>32</v>
      </c>
      <c r="B22" s="11" t="s">
        <v>31</v>
      </c>
      <c r="C22" s="4" t="s">
        <v>0</v>
      </c>
      <c r="D22" s="16">
        <v>17.89787659329</v>
      </c>
    </row>
    <row r="23" spans="1:4" ht="20.25" customHeight="1" x14ac:dyDescent="0.3">
      <c r="A23" s="15" t="s">
        <v>34</v>
      </c>
      <c r="B23" s="17" t="s">
        <v>33</v>
      </c>
      <c r="C23" s="4" t="s">
        <v>0</v>
      </c>
      <c r="D23" s="16">
        <v>49.441607882730004</v>
      </c>
    </row>
    <row r="24" spans="1:4" ht="20.25" customHeight="1" x14ac:dyDescent="0.3">
      <c r="A24" s="15" t="s">
        <v>36</v>
      </c>
      <c r="B24" s="17" t="s">
        <v>35</v>
      </c>
      <c r="C24" s="4" t="s">
        <v>0</v>
      </c>
      <c r="D24" s="16">
        <v>49.441607882730004</v>
      </c>
    </row>
    <row r="25" spans="1:4" ht="20.25" customHeight="1" x14ac:dyDescent="0.3">
      <c r="A25" s="5" t="s">
        <v>38</v>
      </c>
      <c r="B25" s="4" t="s">
        <v>37</v>
      </c>
      <c r="C25" s="4" t="s">
        <v>0</v>
      </c>
      <c r="D25" s="9">
        <v>66.449997158840006</v>
      </c>
    </row>
    <row r="26" spans="1:4" ht="20.25" customHeight="1" x14ac:dyDescent="0.3">
      <c r="A26" s="5" t="s">
        <v>40</v>
      </c>
      <c r="B26" s="4" t="s">
        <v>39</v>
      </c>
      <c r="C26" s="4" t="s">
        <v>0</v>
      </c>
      <c r="D26" s="10">
        <f>+D25</f>
        <v>66.449997158840006</v>
      </c>
    </row>
    <row r="27" spans="1:4" ht="20.25" customHeight="1" x14ac:dyDescent="0.3">
      <c r="A27" s="5" t="s">
        <v>42</v>
      </c>
      <c r="B27" s="4" t="s">
        <v>41</v>
      </c>
      <c r="C27" s="4" t="s">
        <v>0</v>
      </c>
      <c r="D27" s="9">
        <v>51.594013501359996</v>
      </c>
    </row>
    <row r="28" spans="1:4" ht="20.25" customHeight="1" x14ac:dyDescent="0.3">
      <c r="A28" s="5" t="s">
        <v>43</v>
      </c>
      <c r="B28" s="4" t="s">
        <v>41</v>
      </c>
      <c r="C28" s="4" t="s">
        <v>0</v>
      </c>
      <c r="D28" s="18">
        <f>+D27</f>
        <v>51.594013501359996</v>
      </c>
    </row>
    <row r="29" spans="1:4" ht="20.25" customHeight="1" x14ac:dyDescent="0.3">
      <c r="A29" s="5" t="s">
        <v>45</v>
      </c>
      <c r="B29" s="4" t="s">
        <v>44</v>
      </c>
      <c r="C29" s="4" t="s">
        <v>0</v>
      </c>
      <c r="D29" s="9">
        <v>67.515996182519999</v>
      </c>
    </row>
    <row r="30" spans="1:4" ht="20.25" customHeight="1" x14ac:dyDescent="0.3">
      <c r="A30" s="5" t="s">
        <v>47</v>
      </c>
      <c r="B30" s="4" t="s">
        <v>46</v>
      </c>
      <c r="C30" s="4" t="s">
        <v>0</v>
      </c>
      <c r="D30" s="9">
        <v>86.938000429300004</v>
      </c>
    </row>
    <row r="31" spans="1:4" ht="20.25" customHeight="1" x14ac:dyDescent="0.3">
      <c r="A31" s="5" t="s">
        <v>49</v>
      </c>
      <c r="B31" s="4" t="s">
        <v>48</v>
      </c>
      <c r="C31" s="4" t="s">
        <v>0</v>
      </c>
      <c r="D31" s="10">
        <f>+D30</f>
        <v>86.938000429300004</v>
      </c>
    </row>
    <row r="32" spans="1:4" ht="20.25" customHeight="1" x14ac:dyDescent="0.3">
      <c r="A32" s="5">
        <v>4541210</v>
      </c>
      <c r="B32" s="4" t="s">
        <v>50</v>
      </c>
      <c r="C32" s="4" t="s">
        <v>0</v>
      </c>
      <c r="D32" s="7">
        <v>18.598912527000003</v>
      </c>
    </row>
    <row r="33" spans="1:4" ht="20.25" customHeight="1" x14ac:dyDescent="0.3">
      <c r="A33" s="12" t="s">
        <v>52</v>
      </c>
      <c r="B33" s="11" t="s">
        <v>51</v>
      </c>
      <c r="C33" s="4" t="s">
        <v>0</v>
      </c>
      <c r="D33" s="13">
        <v>135.6310062189703</v>
      </c>
    </row>
    <row r="34" spans="1:4" ht="20.25" customHeight="1" x14ac:dyDescent="0.3">
      <c r="A34" s="12" t="s">
        <v>54</v>
      </c>
      <c r="B34" s="4" t="s">
        <v>53</v>
      </c>
      <c r="C34" s="4" t="s">
        <v>0</v>
      </c>
      <c r="D34" s="13">
        <v>110.00207760967145</v>
      </c>
    </row>
    <row r="35" spans="1:4" ht="20.25" customHeight="1" x14ac:dyDescent="0.3">
      <c r="A35" s="12" t="s">
        <v>56</v>
      </c>
      <c r="B35" s="11" t="s">
        <v>55</v>
      </c>
      <c r="C35" s="4" t="s">
        <v>0</v>
      </c>
      <c r="D35" s="13">
        <v>119.8878296445541</v>
      </c>
    </row>
    <row r="36" spans="1:4" ht="20.25" customHeight="1" x14ac:dyDescent="0.3">
      <c r="A36" s="12" t="s">
        <v>58</v>
      </c>
      <c r="B36" s="11" t="s">
        <v>57</v>
      </c>
      <c r="C36" s="4" t="s">
        <v>0</v>
      </c>
      <c r="D36" s="19">
        <v>136.17050009409598</v>
      </c>
    </row>
    <row r="37" spans="1:4" ht="20.25" customHeight="1" x14ac:dyDescent="0.3">
      <c r="A37" s="15" t="s">
        <v>60</v>
      </c>
      <c r="B37" s="11" t="s">
        <v>59</v>
      </c>
      <c r="C37" s="4" t="s">
        <v>0</v>
      </c>
      <c r="D37" s="13">
        <v>127.09502609657351</v>
      </c>
    </row>
    <row r="38" spans="1:4" ht="20.25" customHeight="1" x14ac:dyDescent="0.3">
      <c r="A38" s="12">
        <v>3206001</v>
      </c>
      <c r="B38" s="11" t="s">
        <v>61</v>
      </c>
      <c r="C38" s="4" t="s">
        <v>0</v>
      </c>
      <c r="D38" s="16">
        <f>+D37</f>
        <v>127.09502609657351</v>
      </c>
    </row>
    <row r="39" spans="1:4" ht="20.25" customHeight="1" x14ac:dyDescent="0.3">
      <c r="A39" s="15" t="s">
        <v>63</v>
      </c>
      <c r="B39" s="20" t="s">
        <v>62</v>
      </c>
      <c r="C39" s="4" t="s">
        <v>0</v>
      </c>
      <c r="D39" s="21">
        <v>77.383024754754274</v>
      </c>
    </row>
    <row r="40" spans="1:4" ht="20.25" customHeight="1" x14ac:dyDescent="0.3">
      <c r="A40" s="15" t="s">
        <v>65</v>
      </c>
      <c r="B40" s="20" t="s">
        <v>64</v>
      </c>
      <c r="C40" s="4" t="s">
        <v>0</v>
      </c>
      <c r="D40" s="22">
        <v>86.124447511719993</v>
      </c>
    </row>
    <row r="41" spans="1:4" ht="20.25" customHeight="1" x14ac:dyDescent="0.3">
      <c r="A41" s="15" t="s">
        <v>67</v>
      </c>
      <c r="B41" s="20" t="s">
        <v>66</v>
      </c>
      <c r="C41" s="4" t="s">
        <v>0</v>
      </c>
      <c r="D41" s="16">
        <v>75.459175076294272</v>
      </c>
    </row>
    <row r="42" spans="1:4" ht="20.25" customHeight="1" x14ac:dyDescent="0.3">
      <c r="A42" s="15" t="s">
        <v>69</v>
      </c>
      <c r="B42" s="20" t="s">
        <v>68</v>
      </c>
      <c r="C42" s="4" t="s">
        <v>0</v>
      </c>
      <c r="D42" s="16">
        <v>83.586449632519987</v>
      </c>
    </row>
    <row r="43" spans="1:4" ht="20.25" customHeight="1" x14ac:dyDescent="0.3">
      <c r="A43" s="15">
        <v>4510610</v>
      </c>
      <c r="B43" s="20" t="s">
        <v>70</v>
      </c>
      <c r="C43" s="4" t="s">
        <v>0</v>
      </c>
      <c r="D43" s="16">
        <v>67.572630528818038</v>
      </c>
    </row>
    <row r="44" spans="1:4" ht="20.25" customHeight="1" x14ac:dyDescent="0.3">
      <c r="A44" s="15">
        <v>4510710</v>
      </c>
      <c r="B44" s="20" t="s">
        <v>71</v>
      </c>
      <c r="C44" s="4" t="s">
        <v>0</v>
      </c>
      <c r="D44" s="16">
        <v>89.533621889911942</v>
      </c>
    </row>
    <row r="45" spans="1:4" ht="20.25" customHeight="1" x14ac:dyDescent="0.3">
      <c r="A45" s="15" t="s">
        <v>73</v>
      </c>
      <c r="B45" s="11" t="s">
        <v>72</v>
      </c>
      <c r="C45" s="4" t="s">
        <v>0</v>
      </c>
      <c r="D45" s="21">
        <v>62.628529266015448</v>
      </c>
    </row>
    <row r="46" spans="1:4" ht="20.25" customHeight="1" x14ac:dyDescent="0.3">
      <c r="A46" s="15" t="s">
        <v>75</v>
      </c>
      <c r="B46" s="11" t="s">
        <v>74</v>
      </c>
      <c r="C46" s="4" t="s">
        <v>0</v>
      </c>
      <c r="D46" s="21">
        <v>80.61324648437845</v>
      </c>
    </row>
    <row r="47" spans="1:4" ht="20.25" customHeight="1" x14ac:dyDescent="0.3">
      <c r="A47" s="15" t="s">
        <v>77</v>
      </c>
      <c r="B47" s="20" t="s">
        <v>76</v>
      </c>
      <c r="C47" s="4" t="s">
        <v>0</v>
      </c>
      <c r="D47" s="21">
        <v>51.58940775302105</v>
      </c>
    </row>
    <row r="48" spans="1:4" ht="20.25" customHeight="1" x14ac:dyDescent="0.3">
      <c r="A48" s="15" t="s">
        <v>79</v>
      </c>
      <c r="B48" s="20" t="s">
        <v>78</v>
      </c>
      <c r="C48" s="4" t="s">
        <v>0</v>
      </c>
      <c r="D48" s="21">
        <v>59.675958183360002</v>
      </c>
    </row>
    <row r="49" spans="1:4" ht="17.399999999999999" x14ac:dyDescent="0.3">
      <c r="A49" s="15" t="s">
        <v>81</v>
      </c>
      <c r="B49" s="20" t="s">
        <v>80</v>
      </c>
      <c r="C49" s="4" t="s">
        <v>0</v>
      </c>
      <c r="D49" s="21">
        <v>103.76432260603647</v>
      </c>
    </row>
    <row r="50" spans="1:4" ht="20.25" customHeight="1" x14ac:dyDescent="0.3">
      <c r="A50" s="15" t="s">
        <v>83</v>
      </c>
      <c r="B50" s="20" t="s">
        <v>82</v>
      </c>
      <c r="C50" s="4" t="s">
        <v>0</v>
      </c>
      <c r="D50" s="16">
        <v>160.37549746196939</v>
      </c>
    </row>
    <row r="51" spans="1:4" ht="20.25" customHeight="1" x14ac:dyDescent="0.3">
      <c r="A51" s="15">
        <v>4511810</v>
      </c>
      <c r="B51" s="20" t="s">
        <v>84</v>
      </c>
      <c r="C51" s="4" t="s">
        <v>0</v>
      </c>
      <c r="D51" s="16">
        <v>66.382321708039996</v>
      </c>
    </row>
    <row r="52" spans="1:4" ht="20.25" customHeight="1" x14ac:dyDescent="0.3">
      <c r="A52" s="15">
        <v>4511910</v>
      </c>
      <c r="B52" s="20" t="s">
        <v>85</v>
      </c>
      <c r="C52" s="4" t="s">
        <v>0</v>
      </c>
      <c r="D52" s="16">
        <v>66.522333675330003</v>
      </c>
    </row>
    <row r="53" spans="1:4" ht="20.25" customHeight="1" x14ac:dyDescent="0.3">
      <c r="A53" s="15">
        <v>4506410</v>
      </c>
      <c r="B53" s="20" t="s">
        <v>86</v>
      </c>
      <c r="C53" s="4" t="s">
        <v>0</v>
      </c>
      <c r="D53" s="21">
        <v>88.820093069729978</v>
      </c>
    </row>
    <row r="54" spans="1:4" ht="20.25" customHeight="1" x14ac:dyDescent="0.3">
      <c r="A54" s="15">
        <v>4513710</v>
      </c>
      <c r="B54" s="20" t="s">
        <v>87</v>
      </c>
      <c r="C54" s="4" t="s">
        <v>0</v>
      </c>
      <c r="D54" s="21">
        <v>86.436884511445484</v>
      </c>
    </row>
    <row r="55" spans="1:4" ht="20.25" customHeight="1" x14ac:dyDescent="0.3">
      <c r="A55" s="15" t="s">
        <v>89</v>
      </c>
      <c r="B55" s="20" t="s">
        <v>88</v>
      </c>
      <c r="C55" s="4" t="s">
        <v>0</v>
      </c>
      <c r="D55" s="21">
        <v>90.364887536639998</v>
      </c>
    </row>
    <row r="56" spans="1:4" ht="20.25" customHeight="1" x14ac:dyDescent="0.3">
      <c r="A56" s="15" t="s">
        <v>90</v>
      </c>
      <c r="B56" s="20" t="s">
        <v>88</v>
      </c>
      <c r="C56" s="4" t="s">
        <v>0</v>
      </c>
      <c r="D56" s="21">
        <f>+D55</f>
        <v>90.364887536639998</v>
      </c>
    </row>
    <row r="57" spans="1:4" ht="20.25" customHeight="1" x14ac:dyDescent="0.3">
      <c r="A57" s="15" t="s">
        <v>92</v>
      </c>
      <c r="B57" s="20" t="s">
        <v>91</v>
      </c>
      <c r="C57" s="4" t="s">
        <v>0</v>
      </c>
      <c r="D57" s="21">
        <v>95.27</v>
      </c>
    </row>
    <row r="58" spans="1:4" ht="20.25" customHeight="1" x14ac:dyDescent="0.3">
      <c r="A58" s="15" t="s">
        <v>94</v>
      </c>
      <c r="B58" s="20" t="s">
        <v>93</v>
      </c>
      <c r="C58" s="4" t="s">
        <v>0</v>
      </c>
      <c r="D58" s="21">
        <v>91.124609984000003</v>
      </c>
    </row>
    <row r="59" spans="1:4" ht="20.25" customHeight="1" x14ac:dyDescent="0.3">
      <c r="A59" s="15" t="s">
        <v>96</v>
      </c>
      <c r="B59" s="20" t="s">
        <v>95</v>
      </c>
      <c r="C59" s="4" t="s">
        <v>0</v>
      </c>
      <c r="D59" s="21">
        <v>95.078090058240008</v>
      </c>
    </row>
    <row r="60" spans="1:4" ht="20.25" customHeight="1" x14ac:dyDescent="0.3">
      <c r="A60" s="15" t="s">
        <v>97</v>
      </c>
      <c r="B60" s="20" t="s">
        <v>95</v>
      </c>
      <c r="C60" s="4" t="s">
        <v>0</v>
      </c>
      <c r="D60" s="21">
        <v>95.078090058240008</v>
      </c>
    </row>
    <row r="61" spans="1:4" ht="20.25" customHeight="1" x14ac:dyDescent="0.3">
      <c r="A61" s="15" t="s">
        <v>99</v>
      </c>
      <c r="B61" s="20" t="s">
        <v>98</v>
      </c>
      <c r="C61" s="4" t="s">
        <v>0</v>
      </c>
      <c r="D61" s="21">
        <v>51.933349183025989</v>
      </c>
    </row>
    <row r="62" spans="1:4" ht="20.25" customHeight="1" x14ac:dyDescent="0.3">
      <c r="A62" s="15" t="s">
        <v>101</v>
      </c>
      <c r="B62" s="20" t="s">
        <v>100</v>
      </c>
      <c r="C62" s="4" t="s">
        <v>0</v>
      </c>
      <c r="D62" s="16">
        <v>77.631456374999999</v>
      </c>
    </row>
    <row r="63" spans="1:4" ht="20.25" customHeight="1" x14ac:dyDescent="0.3">
      <c r="A63" s="15">
        <v>4512310</v>
      </c>
      <c r="B63" s="20" t="s">
        <v>102</v>
      </c>
      <c r="C63" s="4" t="s">
        <v>0</v>
      </c>
      <c r="D63" s="16">
        <v>29.114804238016994</v>
      </c>
    </row>
    <row r="64" spans="1:4" ht="20.25" customHeight="1" x14ac:dyDescent="0.3">
      <c r="A64" s="15">
        <v>4506910</v>
      </c>
      <c r="B64" s="11" t="s">
        <v>103</v>
      </c>
      <c r="C64" s="11" t="s">
        <v>0</v>
      </c>
      <c r="D64" s="21">
        <v>95.618764381035277</v>
      </c>
    </row>
    <row r="65" spans="1:4" ht="20.25" customHeight="1" x14ac:dyDescent="0.3">
      <c r="A65" s="15">
        <v>4507010</v>
      </c>
      <c r="B65" s="23" t="s">
        <v>104</v>
      </c>
      <c r="C65" s="23" t="s">
        <v>0</v>
      </c>
      <c r="D65" s="21">
        <v>99.896061893153984</v>
      </c>
    </row>
    <row r="66" spans="1:4" ht="20.25" customHeight="1" x14ac:dyDescent="0.3">
      <c r="A66" s="15" t="s">
        <v>106</v>
      </c>
      <c r="B66" s="23" t="s">
        <v>105</v>
      </c>
      <c r="C66" s="23" t="s">
        <v>0</v>
      </c>
      <c r="D66" s="21">
        <v>98.064434436899973</v>
      </c>
    </row>
    <row r="67" spans="1:4" ht="20.25" customHeight="1" x14ac:dyDescent="0.3">
      <c r="A67" s="15" t="s">
        <v>108</v>
      </c>
      <c r="B67" s="23" t="s">
        <v>107</v>
      </c>
      <c r="C67" s="23" t="s">
        <v>0</v>
      </c>
      <c r="D67" s="21">
        <f>+D66</f>
        <v>98.064434436899973</v>
      </c>
    </row>
    <row r="68" spans="1:4" ht="20.25" customHeight="1" x14ac:dyDescent="0.3">
      <c r="A68" s="24" t="s">
        <v>110</v>
      </c>
      <c r="B68" s="20" t="s">
        <v>109</v>
      </c>
      <c r="C68" s="23" t="s">
        <v>0</v>
      </c>
      <c r="D68" s="21">
        <v>59.756021909639998</v>
      </c>
    </row>
    <row r="69" spans="1:4" ht="20.25" customHeight="1" x14ac:dyDescent="0.3">
      <c r="A69" s="24" t="s">
        <v>111</v>
      </c>
      <c r="B69" s="20" t="s">
        <v>109</v>
      </c>
      <c r="C69" s="23" t="s">
        <v>0</v>
      </c>
      <c r="D69" s="21">
        <f>+D68</f>
        <v>59.756021909639998</v>
      </c>
    </row>
    <row r="70" spans="1:4" ht="17.399999999999999" x14ac:dyDescent="0.3">
      <c r="A70" s="24" t="s">
        <v>113</v>
      </c>
      <c r="B70" s="20" t="s">
        <v>112</v>
      </c>
      <c r="C70" s="23" t="s">
        <v>0</v>
      </c>
      <c r="D70" s="19">
        <v>99.429993541990029</v>
      </c>
    </row>
    <row r="71" spans="1:4" ht="20.25" customHeight="1" x14ac:dyDescent="0.3">
      <c r="A71" s="24" t="s">
        <v>114</v>
      </c>
      <c r="B71" s="20" t="s">
        <v>112</v>
      </c>
      <c r="C71" s="23" t="s">
        <v>0</v>
      </c>
      <c r="D71" s="21">
        <f>+D70</f>
        <v>99.429993541990029</v>
      </c>
    </row>
    <row r="72" spans="1:4" ht="20.25" customHeight="1" x14ac:dyDescent="0.3">
      <c r="A72" s="24" t="s">
        <v>116</v>
      </c>
      <c r="B72" s="20" t="s">
        <v>115</v>
      </c>
      <c r="C72" s="23" t="s">
        <v>0</v>
      </c>
      <c r="D72" s="21">
        <v>75.50758378739998</v>
      </c>
    </row>
    <row r="73" spans="1:4" ht="17.399999999999999" x14ac:dyDescent="0.3">
      <c r="A73" s="24" t="s">
        <v>118</v>
      </c>
      <c r="B73" s="20" t="s">
        <v>117</v>
      </c>
      <c r="C73" s="23" t="s">
        <v>0</v>
      </c>
      <c r="D73" s="21">
        <v>75.329828079119977</v>
      </c>
    </row>
    <row r="74" spans="1:4" ht="20.25" customHeight="1" x14ac:dyDescent="0.3">
      <c r="A74" s="24" t="s">
        <v>120</v>
      </c>
      <c r="B74" s="20" t="s">
        <v>119</v>
      </c>
      <c r="C74" s="23" t="s">
        <v>0</v>
      </c>
      <c r="D74" s="21">
        <v>67.658787200099994</v>
      </c>
    </row>
    <row r="75" spans="1:4" ht="20.25" customHeight="1" x14ac:dyDescent="0.3">
      <c r="A75" s="24" t="s">
        <v>122</v>
      </c>
      <c r="B75" s="20" t="s">
        <v>121</v>
      </c>
      <c r="C75" s="23" t="s">
        <v>0</v>
      </c>
      <c r="D75" s="21">
        <v>101.16122530371997</v>
      </c>
    </row>
    <row r="76" spans="1:4" ht="20.25" customHeight="1" x14ac:dyDescent="0.3">
      <c r="A76" s="24" t="s">
        <v>123</v>
      </c>
      <c r="B76" s="20" t="s">
        <v>121</v>
      </c>
      <c r="C76" s="23" t="s">
        <v>0</v>
      </c>
      <c r="D76" s="21">
        <f>+D75</f>
        <v>101.16122530371997</v>
      </c>
    </row>
    <row r="77" spans="1:4" ht="20.25" customHeight="1" x14ac:dyDescent="0.3">
      <c r="A77" s="24" t="s">
        <v>125</v>
      </c>
      <c r="B77" s="20" t="s">
        <v>124</v>
      </c>
      <c r="C77" s="23" t="s">
        <v>0</v>
      </c>
      <c r="D77" s="21">
        <v>104.84843003463</v>
      </c>
    </row>
    <row r="78" spans="1:4" ht="20.25" customHeight="1" x14ac:dyDescent="0.3">
      <c r="A78" s="24" t="s">
        <v>126</v>
      </c>
      <c r="B78" s="20" t="s">
        <v>124</v>
      </c>
      <c r="C78" s="23" t="s">
        <v>0</v>
      </c>
      <c r="D78" s="21">
        <f>+D77</f>
        <v>104.84843003463</v>
      </c>
    </row>
    <row r="79" spans="1:4" ht="20.25" customHeight="1" x14ac:dyDescent="0.3">
      <c r="A79" s="24" t="s">
        <v>128</v>
      </c>
      <c r="B79" s="20" t="s">
        <v>127</v>
      </c>
      <c r="C79" s="23" t="s">
        <v>0</v>
      </c>
      <c r="D79" s="21">
        <v>59.759021909639998</v>
      </c>
    </row>
    <row r="80" spans="1:4" ht="20.25" customHeight="1" x14ac:dyDescent="0.3">
      <c r="A80" s="24" t="s">
        <v>129</v>
      </c>
      <c r="B80" s="20" t="s">
        <v>127</v>
      </c>
      <c r="C80" s="23" t="s">
        <v>0</v>
      </c>
      <c r="D80" s="21">
        <f>+D79</f>
        <v>59.759021909639998</v>
      </c>
    </row>
    <row r="81" spans="1:4" ht="17.399999999999999" x14ac:dyDescent="0.3">
      <c r="A81" s="24" t="s">
        <v>131</v>
      </c>
      <c r="B81" s="20" t="s">
        <v>130</v>
      </c>
      <c r="C81" s="23" t="s">
        <v>0</v>
      </c>
      <c r="D81" s="21">
        <v>86.526391119359985</v>
      </c>
    </row>
    <row r="82" spans="1:4" ht="17.399999999999999" x14ac:dyDescent="0.3">
      <c r="A82" s="24" t="s">
        <v>133</v>
      </c>
      <c r="B82" s="20" t="s">
        <v>132</v>
      </c>
      <c r="C82" s="23" t="s">
        <v>0</v>
      </c>
      <c r="D82" s="21">
        <v>87.486482877079993</v>
      </c>
    </row>
    <row r="83" spans="1:4" ht="17.399999999999999" x14ac:dyDescent="0.3">
      <c r="A83" s="24" t="s">
        <v>135</v>
      </c>
      <c r="B83" s="20" t="s">
        <v>134</v>
      </c>
      <c r="C83" s="23" t="s">
        <v>0</v>
      </c>
      <c r="D83" s="21">
        <v>125.60226528977374</v>
      </c>
    </row>
    <row r="84" spans="1:4" ht="17.399999999999999" x14ac:dyDescent="0.3">
      <c r="A84" s="24" t="s">
        <v>137</v>
      </c>
      <c r="B84" s="20" t="s">
        <v>136</v>
      </c>
      <c r="C84" s="23" t="s">
        <v>0</v>
      </c>
      <c r="D84" s="21">
        <v>114.25158142340999</v>
      </c>
    </row>
    <row r="85" spans="1:4" ht="17.399999999999999" x14ac:dyDescent="0.3">
      <c r="A85" s="24" t="s">
        <v>138</v>
      </c>
      <c r="B85" s="20" t="s">
        <v>136</v>
      </c>
      <c r="C85" s="23" t="s">
        <v>0</v>
      </c>
      <c r="D85" s="21">
        <f>D84</f>
        <v>114.25158142340999</v>
      </c>
    </row>
    <row r="86" spans="1:4" ht="17.399999999999999" x14ac:dyDescent="0.3">
      <c r="A86" s="24" t="s">
        <v>140</v>
      </c>
      <c r="B86" s="20" t="s">
        <v>139</v>
      </c>
      <c r="C86" s="23" t="s">
        <v>0</v>
      </c>
      <c r="D86" s="21">
        <v>87.730920795228698</v>
      </c>
    </row>
    <row r="87" spans="1:4" ht="20.25" customHeight="1" x14ac:dyDescent="0.3">
      <c r="A87" s="25" t="s">
        <v>142</v>
      </c>
      <c r="B87" s="20" t="s">
        <v>141</v>
      </c>
      <c r="C87" s="23" t="s">
        <v>0</v>
      </c>
      <c r="D87" s="21">
        <v>102.71561822383998</v>
      </c>
    </row>
    <row r="88" spans="1:4" ht="20.25" customHeight="1" x14ac:dyDescent="0.3">
      <c r="A88" s="25" t="s">
        <v>143</v>
      </c>
      <c r="B88" s="20" t="s">
        <v>141</v>
      </c>
      <c r="C88" s="23" t="s">
        <v>0</v>
      </c>
      <c r="D88" s="21">
        <f>+D87</f>
        <v>102.71561822383998</v>
      </c>
    </row>
    <row r="89" spans="1:4" ht="17.399999999999999" x14ac:dyDescent="0.3">
      <c r="A89" s="24" t="s">
        <v>144</v>
      </c>
      <c r="B89" s="20" t="s">
        <v>141</v>
      </c>
      <c r="C89" s="23" t="s">
        <v>0</v>
      </c>
      <c r="D89" s="21">
        <v>103.32226053349001</v>
      </c>
    </row>
    <row r="90" spans="1:4" ht="17.399999999999999" x14ac:dyDescent="0.3">
      <c r="A90" s="24" t="s">
        <v>146</v>
      </c>
      <c r="B90" s="20" t="s">
        <v>145</v>
      </c>
      <c r="C90" s="23" t="s">
        <v>0</v>
      </c>
      <c r="D90" s="19">
        <v>102.52159507349</v>
      </c>
    </row>
    <row r="91" spans="1:4" ht="20.25" customHeight="1" x14ac:dyDescent="0.3">
      <c r="A91" s="24" t="s">
        <v>148</v>
      </c>
      <c r="B91" s="20" t="s">
        <v>147</v>
      </c>
      <c r="C91" s="23" t="s">
        <v>0</v>
      </c>
      <c r="D91" s="21">
        <v>121.59342293030998</v>
      </c>
    </row>
    <row r="92" spans="1:4" ht="20.25" customHeight="1" x14ac:dyDescent="0.3">
      <c r="A92" s="24" t="s">
        <v>150</v>
      </c>
      <c r="B92" s="20" t="s">
        <v>149</v>
      </c>
      <c r="C92" s="23" t="s">
        <v>0</v>
      </c>
      <c r="D92" s="21">
        <v>67.659378530419986</v>
      </c>
    </row>
    <row r="93" spans="1:4" ht="20.25" customHeight="1" x14ac:dyDescent="0.3">
      <c r="A93" s="24" t="s">
        <v>152</v>
      </c>
      <c r="B93" s="20" t="s">
        <v>151</v>
      </c>
      <c r="C93" s="23" t="s">
        <v>0</v>
      </c>
      <c r="D93" s="21">
        <v>68.50468284726999</v>
      </c>
    </row>
    <row r="94" spans="1:4" ht="20.25" customHeight="1" x14ac:dyDescent="0.3">
      <c r="A94" s="24" t="s">
        <v>154</v>
      </c>
      <c r="B94" s="20" t="s">
        <v>153</v>
      </c>
      <c r="C94" s="23" t="s">
        <v>0</v>
      </c>
      <c r="D94" s="21">
        <v>76.294956369309986</v>
      </c>
    </row>
    <row r="95" spans="1:4" ht="20.25" customHeight="1" x14ac:dyDescent="0.3">
      <c r="A95" s="24" t="s">
        <v>155</v>
      </c>
      <c r="B95" s="20" t="s">
        <v>153</v>
      </c>
      <c r="C95" s="23" t="s">
        <v>0</v>
      </c>
      <c r="D95" s="21">
        <f>+D94</f>
        <v>76.294956369309986</v>
      </c>
    </row>
    <row r="96" spans="1:4" ht="20.25" customHeight="1" x14ac:dyDescent="0.3">
      <c r="A96" s="24" t="s">
        <v>157</v>
      </c>
      <c r="B96" s="20" t="s">
        <v>156</v>
      </c>
      <c r="C96" s="23" t="s">
        <v>0</v>
      </c>
      <c r="D96" s="21">
        <v>89.568308928449952</v>
      </c>
    </row>
    <row r="97" spans="1:4" ht="20.25" customHeight="1" x14ac:dyDescent="0.3">
      <c r="A97" s="24" t="s">
        <v>158</v>
      </c>
      <c r="B97" s="20" t="s">
        <v>156</v>
      </c>
      <c r="C97" s="23" t="s">
        <v>0</v>
      </c>
      <c r="D97" s="21">
        <f>+D96</f>
        <v>89.568308928449952</v>
      </c>
    </row>
    <row r="98" spans="1:4" ht="20.25" customHeight="1" x14ac:dyDescent="0.3">
      <c r="A98" s="24" t="s">
        <v>160</v>
      </c>
      <c r="B98" s="20" t="s">
        <v>159</v>
      </c>
      <c r="C98" s="23" t="s">
        <v>0</v>
      </c>
      <c r="D98" s="21">
        <v>110.32772870876001</v>
      </c>
    </row>
    <row r="99" spans="1:4" ht="20.25" customHeight="1" x14ac:dyDescent="0.3">
      <c r="A99" s="24" t="s">
        <v>161</v>
      </c>
      <c r="B99" s="20" t="s">
        <v>159</v>
      </c>
      <c r="C99" s="23" t="s">
        <v>0</v>
      </c>
      <c r="D99" s="21">
        <f>+D98</f>
        <v>110.32772870876001</v>
      </c>
    </row>
    <row r="100" spans="1:4" ht="20.25" customHeight="1" x14ac:dyDescent="0.3">
      <c r="A100" s="24" t="s">
        <v>163</v>
      </c>
      <c r="B100" s="20" t="s">
        <v>162</v>
      </c>
      <c r="C100" s="23" t="s">
        <v>0</v>
      </c>
      <c r="D100" s="21">
        <v>52.69120202584508</v>
      </c>
    </row>
    <row r="101" spans="1:4" ht="20.25" customHeight="1" x14ac:dyDescent="0.3">
      <c r="A101" s="24" t="s">
        <v>165</v>
      </c>
      <c r="B101" s="20" t="s">
        <v>164</v>
      </c>
      <c r="C101" s="23" t="s">
        <v>0</v>
      </c>
      <c r="D101" s="21">
        <v>99.949137329131986</v>
      </c>
    </row>
    <row r="102" spans="1:4" ht="20.25" customHeight="1" x14ac:dyDescent="0.3">
      <c r="A102" s="24">
        <v>3217401</v>
      </c>
      <c r="B102" s="20" t="s">
        <v>166</v>
      </c>
      <c r="C102" s="23" t="s">
        <v>0</v>
      </c>
      <c r="D102" s="16">
        <v>110.90975609279153</v>
      </c>
    </row>
    <row r="103" spans="1:4" ht="20.25" customHeight="1" x14ac:dyDescent="0.3">
      <c r="A103" s="24" t="s">
        <v>168</v>
      </c>
      <c r="B103" s="20" t="s">
        <v>167</v>
      </c>
      <c r="C103" s="23" t="s">
        <v>0</v>
      </c>
      <c r="D103" s="21">
        <v>93.459410407601624</v>
      </c>
    </row>
    <row r="104" spans="1:4" ht="20.25" customHeight="1" x14ac:dyDescent="0.3">
      <c r="A104" s="24" t="s">
        <v>170</v>
      </c>
      <c r="B104" s="20" t="s">
        <v>169</v>
      </c>
      <c r="C104" s="23" t="s">
        <v>0</v>
      </c>
      <c r="D104" s="21">
        <v>102.07585284609149</v>
      </c>
    </row>
    <row r="105" spans="1:4" ht="20.25" customHeight="1" x14ac:dyDescent="0.3">
      <c r="A105" s="26">
        <v>3204602</v>
      </c>
      <c r="B105" s="20" t="s">
        <v>171</v>
      </c>
      <c r="C105" s="23" t="s">
        <v>0</v>
      </c>
      <c r="D105" s="21">
        <v>70.788755880959997</v>
      </c>
    </row>
    <row r="106" spans="1:4" ht="20.25" customHeight="1" x14ac:dyDescent="0.3">
      <c r="A106" s="24" t="s">
        <v>173</v>
      </c>
      <c r="B106" s="20" t="s">
        <v>172</v>
      </c>
      <c r="C106" s="23" t="s">
        <v>0</v>
      </c>
      <c r="D106" s="21">
        <v>157.95714173999002</v>
      </c>
    </row>
    <row r="107" spans="1:4" ht="20.25" customHeight="1" x14ac:dyDescent="0.3">
      <c r="A107" s="24" t="s">
        <v>174</v>
      </c>
      <c r="B107" s="20" t="s">
        <v>172</v>
      </c>
      <c r="C107" s="23" t="s">
        <v>0</v>
      </c>
      <c r="D107" s="21">
        <f>+D106</f>
        <v>157.95714173999002</v>
      </c>
    </row>
    <row r="108" spans="1:4" ht="20.25" customHeight="1" x14ac:dyDescent="0.3">
      <c r="A108" s="24">
        <v>4505510</v>
      </c>
      <c r="B108" s="20" t="s">
        <v>175</v>
      </c>
      <c r="C108" s="23" t="s">
        <v>0</v>
      </c>
      <c r="D108" s="21">
        <v>92.665870839704681</v>
      </c>
    </row>
    <row r="109" spans="1:4" ht="20.25" customHeight="1" x14ac:dyDescent="0.3">
      <c r="A109" s="24">
        <v>4505610</v>
      </c>
      <c r="B109" s="20" t="s">
        <v>176</v>
      </c>
      <c r="C109" s="23" t="s">
        <v>0</v>
      </c>
      <c r="D109" s="21">
        <v>136.49012848777352</v>
      </c>
    </row>
    <row r="110" spans="1:4" ht="20.25" customHeight="1" x14ac:dyDescent="0.3">
      <c r="A110" s="24" t="s">
        <v>178</v>
      </c>
      <c r="B110" s="11" t="s">
        <v>177</v>
      </c>
      <c r="C110" s="11" t="s">
        <v>0</v>
      </c>
      <c r="D110" s="21">
        <v>70.77419297672806</v>
      </c>
    </row>
    <row r="111" spans="1:4" ht="20.25" customHeight="1" x14ac:dyDescent="0.3">
      <c r="A111" s="24" t="s">
        <v>180</v>
      </c>
      <c r="B111" s="11" t="s">
        <v>179</v>
      </c>
      <c r="C111" s="11" t="s">
        <v>0</v>
      </c>
      <c r="D111" s="21">
        <v>75.17385160508617</v>
      </c>
    </row>
    <row r="112" spans="1:4" ht="20.25" customHeight="1" x14ac:dyDescent="0.3">
      <c r="A112" s="24" t="s">
        <v>182</v>
      </c>
      <c r="B112" s="11" t="s">
        <v>181</v>
      </c>
      <c r="C112" s="11" t="s">
        <v>0</v>
      </c>
      <c r="D112" s="21">
        <v>88.485250285997623</v>
      </c>
    </row>
    <row r="113" spans="1:4" ht="20.25" customHeight="1" x14ac:dyDescent="0.3">
      <c r="A113" s="24" t="s">
        <v>184</v>
      </c>
      <c r="B113" s="11" t="s">
        <v>183</v>
      </c>
      <c r="C113" s="11" t="s">
        <v>0</v>
      </c>
      <c r="D113" s="21">
        <f>+D112</f>
        <v>88.485250285997623</v>
      </c>
    </row>
    <row r="114" spans="1:4" ht="20.25" customHeight="1" x14ac:dyDescent="0.3">
      <c r="A114" s="24" t="s">
        <v>186</v>
      </c>
      <c r="B114" s="11" t="s">
        <v>185</v>
      </c>
      <c r="C114" s="11" t="s">
        <v>0</v>
      </c>
      <c r="D114" s="21">
        <v>85.524145458272997</v>
      </c>
    </row>
    <row r="115" spans="1:4" ht="20.25" customHeight="1" x14ac:dyDescent="0.3">
      <c r="A115" s="24" t="s">
        <v>188</v>
      </c>
      <c r="B115" s="11" t="s">
        <v>187</v>
      </c>
      <c r="C115" s="11" t="s">
        <v>0</v>
      </c>
      <c r="D115" s="21">
        <v>106.94117580835996</v>
      </c>
    </row>
    <row r="116" spans="1:4" ht="20.25" customHeight="1" x14ac:dyDescent="0.3">
      <c r="A116" s="24" t="s">
        <v>190</v>
      </c>
      <c r="B116" s="11" t="s">
        <v>189</v>
      </c>
      <c r="C116" s="11" t="s">
        <v>0</v>
      </c>
      <c r="D116" s="21">
        <v>84.648964376747998</v>
      </c>
    </row>
    <row r="117" spans="1:4" ht="20.25" customHeight="1" x14ac:dyDescent="0.3">
      <c r="A117" s="24" t="s">
        <v>192</v>
      </c>
      <c r="B117" s="11" t="s">
        <v>191</v>
      </c>
      <c r="C117" s="11" t="s">
        <v>0</v>
      </c>
      <c r="D117" s="21">
        <f>+D116</f>
        <v>84.648964376747998</v>
      </c>
    </row>
    <row r="118" spans="1:4" ht="20.25" customHeight="1" x14ac:dyDescent="0.3">
      <c r="A118" s="24" t="s">
        <v>194</v>
      </c>
      <c r="B118" s="11" t="s">
        <v>193</v>
      </c>
      <c r="C118" s="11" t="s">
        <v>0</v>
      </c>
      <c r="D118" s="21">
        <v>106.06099416435997</v>
      </c>
    </row>
    <row r="119" spans="1:4" ht="20.25" customHeight="1" x14ac:dyDescent="0.3">
      <c r="A119" s="24" t="s">
        <v>196</v>
      </c>
      <c r="B119" s="11" t="s">
        <v>195</v>
      </c>
      <c r="C119" s="11" t="s">
        <v>0</v>
      </c>
      <c r="D119" s="21">
        <f>+D118</f>
        <v>106.06099416435997</v>
      </c>
    </row>
    <row r="120" spans="1:4" ht="20.25" customHeight="1" x14ac:dyDescent="0.3">
      <c r="A120" s="24" t="s">
        <v>198</v>
      </c>
      <c r="B120" s="11" t="s">
        <v>197</v>
      </c>
      <c r="C120" s="11" t="s">
        <v>0</v>
      </c>
      <c r="D120" s="21">
        <v>82.314009334870448</v>
      </c>
    </row>
    <row r="121" spans="1:4" ht="20.25" customHeight="1" x14ac:dyDescent="0.3">
      <c r="A121" s="25" t="s">
        <v>200</v>
      </c>
      <c r="B121" s="11" t="s">
        <v>199</v>
      </c>
      <c r="C121" s="11" t="s">
        <v>0</v>
      </c>
      <c r="D121" s="21">
        <f>95.886+0.144</f>
        <v>96.03</v>
      </c>
    </row>
    <row r="122" spans="1:4" ht="20.25" customHeight="1" x14ac:dyDescent="0.3">
      <c r="A122" s="25" t="s">
        <v>201</v>
      </c>
      <c r="B122" s="11" t="s">
        <v>199</v>
      </c>
      <c r="C122" s="11" t="s">
        <v>0</v>
      </c>
      <c r="D122" s="21">
        <f>+D121</f>
        <v>96.03</v>
      </c>
    </row>
    <row r="123" spans="1:4" ht="17.399999999999999" x14ac:dyDescent="0.3">
      <c r="A123" s="24" t="s">
        <v>202</v>
      </c>
      <c r="B123" s="11" t="s">
        <v>199</v>
      </c>
      <c r="C123" s="11" t="s">
        <v>0</v>
      </c>
      <c r="D123" s="21">
        <v>95.885896204800019</v>
      </c>
    </row>
    <row r="124" spans="1:4" ht="20.25" customHeight="1" x14ac:dyDescent="0.3">
      <c r="A124" s="24">
        <v>4515210</v>
      </c>
      <c r="B124" s="20" t="s">
        <v>203</v>
      </c>
      <c r="C124" s="23" t="s">
        <v>0</v>
      </c>
      <c r="D124" s="21">
        <v>90.364887536639998</v>
      </c>
    </row>
    <row r="125" spans="1:4" ht="20.25" customHeight="1" x14ac:dyDescent="0.3">
      <c r="A125" s="24" t="s">
        <v>204</v>
      </c>
      <c r="B125" s="20" t="s">
        <v>203</v>
      </c>
      <c r="C125" s="23" t="s">
        <v>0</v>
      </c>
      <c r="D125" s="21">
        <f>+D124</f>
        <v>90.364887536639998</v>
      </c>
    </row>
    <row r="126" spans="1:4" ht="20.25" customHeight="1" x14ac:dyDescent="0.3">
      <c r="A126" s="24" t="s">
        <v>206</v>
      </c>
      <c r="B126" s="20" t="s">
        <v>205</v>
      </c>
      <c r="C126" s="23" t="s">
        <v>0</v>
      </c>
      <c r="D126" s="21">
        <v>77.940250204751877</v>
      </c>
    </row>
    <row r="127" spans="1:4" ht="20.25" customHeight="1" x14ac:dyDescent="0.3">
      <c r="A127" s="24" t="s">
        <v>208</v>
      </c>
      <c r="B127" s="20" t="s">
        <v>207</v>
      </c>
      <c r="C127" s="23" t="s">
        <v>0</v>
      </c>
      <c r="D127" s="21">
        <v>90.931598843759986</v>
      </c>
    </row>
    <row r="128" spans="1:4" ht="20.25" customHeight="1" x14ac:dyDescent="0.3">
      <c r="A128" s="24" t="s">
        <v>209</v>
      </c>
      <c r="B128" s="20" t="s">
        <v>207</v>
      </c>
      <c r="C128" s="23" t="s">
        <v>0</v>
      </c>
      <c r="D128" s="21">
        <f>+D127</f>
        <v>90.931598843759986</v>
      </c>
    </row>
    <row r="129" spans="1:4" ht="20.25" customHeight="1" x14ac:dyDescent="0.3">
      <c r="A129" s="24">
        <v>7201501</v>
      </c>
      <c r="B129" s="20" t="s">
        <v>210</v>
      </c>
      <c r="C129" s="23" t="s">
        <v>0</v>
      </c>
      <c r="D129" s="21">
        <v>94.924867342085591</v>
      </c>
    </row>
    <row r="130" spans="1:4" ht="20.25" customHeight="1" x14ac:dyDescent="0.3">
      <c r="A130" s="24">
        <v>3207701</v>
      </c>
      <c r="B130" s="20" t="s">
        <v>211</v>
      </c>
      <c r="C130" s="23" t="s">
        <v>0</v>
      </c>
      <c r="D130" s="21">
        <v>151.34905586379628</v>
      </c>
    </row>
    <row r="131" spans="1:4" ht="20.25" customHeight="1" x14ac:dyDescent="0.3">
      <c r="A131" s="24" t="s">
        <v>213</v>
      </c>
      <c r="B131" s="20" t="s">
        <v>212</v>
      </c>
      <c r="C131" s="23" t="s">
        <v>0</v>
      </c>
      <c r="D131" s="21">
        <v>184.82856424264003</v>
      </c>
    </row>
    <row r="132" spans="1:4" ht="20.25" customHeight="1" x14ac:dyDescent="0.3">
      <c r="A132" s="24">
        <v>4517610</v>
      </c>
      <c r="B132" s="20" t="s">
        <v>214</v>
      </c>
      <c r="C132" s="23" t="s">
        <v>0</v>
      </c>
      <c r="D132" s="22">
        <v>18.183987244855999</v>
      </c>
    </row>
    <row r="133" spans="1:4" ht="20.25" customHeight="1" x14ac:dyDescent="0.3">
      <c r="A133" s="24" t="s">
        <v>216</v>
      </c>
      <c r="B133" s="20" t="s">
        <v>215</v>
      </c>
      <c r="C133" s="23" t="s">
        <v>0</v>
      </c>
      <c r="D133" s="21">
        <v>201.35481693472201</v>
      </c>
    </row>
    <row r="134" spans="1:4" ht="17.399999999999999" x14ac:dyDescent="0.3">
      <c r="A134" s="24" t="s">
        <v>218</v>
      </c>
      <c r="B134" s="20" t="s">
        <v>217</v>
      </c>
      <c r="C134" s="23" t="s">
        <v>0</v>
      </c>
      <c r="D134" s="21">
        <v>141.42727326483117</v>
      </c>
    </row>
    <row r="135" spans="1:4" ht="17.399999999999999" x14ac:dyDescent="0.3">
      <c r="A135" s="24" t="s">
        <v>219</v>
      </c>
      <c r="B135" s="20" t="s">
        <v>217</v>
      </c>
      <c r="C135" s="23" t="s">
        <v>0</v>
      </c>
      <c r="D135" s="21">
        <f>+D134</f>
        <v>141.42727326483117</v>
      </c>
    </row>
    <row r="136" spans="1:4" ht="20.25" customHeight="1" x14ac:dyDescent="0.3">
      <c r="A136" s="24" t="s">
        <v>221</v>
      </c>
      <c r="B136" s="20" t="s">
        <v>220</v>
      </c>
      <c r="C136" s="23" t="s">
        <v>0</v>
      </c>
      <c r="D136" s="21">
        <v>64.347315020295383</v>
      </c>
    </row>
    <row r="137" spans="1:4" ht="20.25" customHeight="1" x14ac:dyDescent="0.3">
      <c r="A137" s="24">
        <v>4556510</v>
      </c>
      <c r="B137" s="20" t="s">
        <v>222</v>
      </c>
      <c r="C137" s="23" t="s">
        <v>0</v>
      </c>
      <c r="D137" s="16">
        <v>95.562052522988992</v>
      </c>
    </row>
    <row r="138" spans="1:4" ht="20.25" customHeight="1" x14ac:dyDescent="0.3">
      <c r="A138" s="24">
        <v>4504310</v>
      </c>
      <c r="B138" s="20" t="s">
        <v>223</v>
      </c>
      <c r="C138" s="23" t="s">
        <v>0</v>
      </c>
      <c r="D138" s="16">
        <v>126.10604517364047</v>
      </c>
    </row>
    <row r="139" spans="1:4" ht="20.25" customHeight="1" x14ac:dyDescent="0.3">
      <c r="A139" s="24">
        <v>4560610</v>
      </c>
      <c r="B139" s="20" t="s">
        <v>224</v>
      </c>
      <c r="C139" s="23" t="s">
        <v>0</v>
      </c>
      <c r="D139" s="16">
        <v>182.53677736215997</v>
      </c>
    </row>
    <row r="140" spans="1:4" ht="20.25" customHeight="1" x14ac:dyDescent="0.3">
      <c r="A140" s="24">
        <v>4500310</v>
      </c>
      <c r="B140" s="20" t="s">
        <v>225</v>
      </c>
      <c r="C140" s="23" t="s">
        <v>0</v>
      </c>
      <c r="D140" s="16">
        <v>177.56668411592148</v>
      </c>
    </row>
    <row r="141" spans="1:4" ht="20.25" customHeight="1" x14ac:dyDescent="0.3">
      <c r="A141" s="24" t="s">
        <v>227</v>
      </c>
      <c r="B141" s="20" t="s">
        <v>226</v>
      </c>
      <c r="C141" s="23" t="s">
        <v>0</v>
      </c>
      <c r="D141" s="16">
        <v>17.89787659329</v>
      </c>
    </row>
    <row r="142" spans="1:4" ht="20.25" customHeight="1" x14ac:dyDescent="0.3">
      <c r="A142" s="24" t="s">
        <v>229</v>
      </c>
      <c r="B142" s="20" t="s">
        <v>228</v>
      </c>
      <c r="C142" s="23" t="s">
        <v>0</v>
      </c>
      <c r="D142" s="16">
        <v>6.5473986006000002</v>
      </c>
    </row>
    <row r="143" spans="1:4" ht="20.25" customHeight="1" x14ac:dyDescent="0.3">
      <c r="A143" s="24">
        <v>4515510</v>
      </c>
      <c r="B143" s="11" t="s">
        <v>230</v>
      </c>
      <c r="C143" s="11" t="s">
        <v>0</v>
      </c>
      <c r="D143" s="21">
        <v>59.756021909639998</v>
      </c>
    </row>
    <row r="144" spans="1:4" ht="20.25" customHeight="1" x14ac:dyDescent="0.3">
      <c r="A144" s="24">
        <v>4515610</v>
      </c>
      <c r="B144" s="11" t="s">
        <v>231</v>
      </c>
      <c r="C144" s="11" t="s">
        <v>0</v>
      </c>
      <c r="D144" s="22">
        <f>+D143</f>
        <v>59.756021909639998</v>
      </c>
    </row>
    <row r="145" spans="1:4" ht="20.25" customHeight="1" x14ac:dyDescent="0.3">
      <c r="A145" s="24">
        <v>4514510</v>
      </c>
      <c r="B145" s="11" t="s">
        <v>232</v>
      </c>
      <c r="C145" s="11" t="s">
        <v>0</v>
      </c>
      <c r="D145" s="16">
        <v>159.91100841121451</v>
      </c>
    </row>
    <row r="146" spans="1:4" ht="20.25" customHeight="1" x14ac:dyDescent="0.3">
      <c r="A146" s="24">
        <v>442112012</v>
      </c>
      <c r="B146" s="11" t="s">
        <v>233</v>
      </c>
      <c r="C146" s="11" t="s">
        <v>0</v>
      </c>
      <c r="D146" s="21">
        <v>36.401816527999998</v>
      </c>
    </row>
    <row r="147" spans="1:4" ht="20.25" customHeight="1" x14ac:dyDescent="0.3">
      <c r="A147" s="24" t="s">
        <v>235</v>
      </c>
      <c r="B147" s="11" t="s">
        <v>234</v>
      </c>
      <c r="C147" s="11" t="s">
        <v>0</v>
      </c>
      <c r="D147" s="21">
        <v>39.76403640353999</v>
      </c>
    </row>
    <row r="148" spans="1:4" ht="20.25" customHeight="1" x14ac:dyDescent="0.3">
      <c r="A148" s="24">
        <v>442112058</v>
      </c>
      <c r="B148" s="11" t="s">
        <v>236</v>
      </c>
      <c r="C148" s="11" t="s">
        <v>0</v>
      </c>
      <c r="D148" s="21">
        <v>63.612578509267848</v>
      </c>
    </row>
    <row r="149" spans="1:4" ht="20.25" customHeight="1" x14ac:dyDescent="0.3">
      <c r="A149" s="24" t="s">
        <v>238</v>
      </c>
      <c r="B149" s="11" t="s">
        <v>237</v>
      </c>
      <c r="C149" s="11" t="s">
        <v>0</v>
      </c>
      <c r="D149" s="21">
        <v>67.409735001007277</v>
      </c>
    </row>
    <row r="150" spans="1:4" ht="20.25" customHeight="1" x14ac:dyDescent="0.3">
      <c r="A150" s="24">
        <v>4514310</v>
      </c>
      <c r="B150" s="11" t="s">
        <v>239</v>
      </c>
      <c r="C150" s="11" t="s">
        <v>0</v>
      </c>
      <c r="D150" s="16">
        <v>3.7328716424999997</v>
      </c>
    </row>
    <row r="151" spans="1:4" ht="20.25" customHeight="1" x14ac:dyDescent="0.3">
      <c r="A151" s="24" t="s">
        <v>241</v>
      </c>
      <c r="B151" s="11" t="s">
        <v>240</v>
      </c>
      <c r="C151" s="11" t="s">
        <v>0</v>
      </c>
      <c r="D151" s="21">
        <v>86.124447511719993</v>
      </c>
    </row>
    <row r="152" spans="1:4" ht="20.25" customHeight="1" x14ac:dyDescent="0.3">
      <c r="A152" s="24" t="s">
        <v>243</v>
      </c>
      <c r="B152" s="11" t="s">
        <v>242</v>
      </c>
      <c r="C152" s="11" t="s">
        <v>0</v>
      </c>
      <c r="D152" s="21">
        <v>84.588312775959992</v>
      </c>
    </row>
    <row r="153" spans="1:4" ht="20.25" customHeight="1" x14ac:dyDescent="0.3">
      <c r="A153" s="24" t="s">
        <v>245</v>
      </c>
      <c r="B153" s="11" t="s">
        <v>244</v>
      </c>
      <c r="C153" s="11" t="s">
        <v>0</v>
      </c>
      <c r="D153" s="21">
        <v>82.71200602287999</v>
      </c>
    </row>
    <row r="154" spans="1:4" ht="20.25" customHeight="1" x14ac:dyDescent="0.3">
      <c r="A154" s="24" t="s">
        <v>247</v>
      </c>
      <c r="B154" s="11" t="s">
        <v>246</v>
      </c>
      <c r="C154" s="11" t="s">
        <v>0</v>
      </c>
      <c r="D154" s="21">
        <v>70.728132645119985</v>
      </c>
    </row>
    <row r="155" spans="1:4" ht="20.25" customHeight="1" x14ac:dyDescent="0.3">
      <c r="A155" s="24" t="s">
        <v>249</v>
      </c>
      <c r="B155" s="11" t="s">
        <v>248</v>
      </c>
      <c r="C155" s="11" t="s">
        <v>0</v>
      </c>
      <c r="D155" s="21">
        <v>69.553349618659013</v>
      </c>
    </row>
    <row r="156" spans="1:4" ht="20.25" customHeight="1" x14ac:dyDescent="0.3">
      <c r="A156" s="24" t="s">
        <v>251</v>
      </c>
      <c r="B156" s="11" t="s">
        <v>250</v>
      </c>
      <c r="C156" s="11" t="s">
        <v>0</v>
      </c>
      <c r="D156" s="21">
        <v>30.585316647312496</v>
      </c>
    </row>
    <row r="157" spans="1:4" ht="20.25" customHeight="1" x14ac:dyDescent="0.3">
      <c r="A157" s="24" t="s">
        <v>253</v>
      </c>
      <c r="B157" s="11" t="s">
        <v>252</v>
      </c>
      <c r="C157" s="11" t="s">
        <v>0</v>
      </c>
      <c r="D157" s="21">
        <f>43.59-1.682</f>
        <v>41.908000000000001</v>
      </c>
    </row>
    <row r="158" spans="1:4" ht="20.25" customHeight="1" x14ac:dyDescent="0.3">
      <c r="A158" s="24" t="s">
        <v>255</v>
      </c>
      <c r="B158" s="11" t="s">
        <v>254</v>
      </c>
      <c r="C158" s="11" t="s">
        <v>0</v>
      </c>
      <c r="D158" s="21">
        <v>32.167430106543421</v>
      </c>
    </row>
    <row r="159" spans="1:4" ht="20.25" customHeight="1" x14ac:dyDescent="0.3">
      <c r="A159" s="24" t="s">
        <v>257</v>
      </c>
      <c r="B159" s="11" t="s">
        <v>256</v>
      </c>
      <c r="C159" s="11" t="s">
        <v>0</v>
      </c>
      <c r="D159" s="21">
        <v>60.790917198450423</v>
      </c>
    </row>
    <row r="160" spans="1:4" ht="20.25" customHeight="1" x14ac:dyDescent="0.3">
      <c r="A160" s="24" t="s">
        <v>259</v>
      </c>
      <c r="B160" s="11" t="s">
        <v>258</v>
      </c>
      <c r="C160" s="11" t="s">
        <v>0</v>
      </c>
      <c r="D160" s="21">
        <v>62.643117539086198</v>
      </c>
    </row>
    <row r="161" spans="1:4" ht="20.25" customHeight="1" x14ac:dyDescent="0.3">
      <c r="A161" s="24" t="s">
        <v>261</v>
      </c>
      <c r="B161" s="11" t="s">
        <v>260</v>
      </c>
      <c r="C161" s="11" t="s">
        <v>0</v>
      </c>
      <c r="D161" s="21">
        <v>158.50398211249998</v>
      </c>
    </row>
    <row r="162" spans="1:4" ht="20.25" customHeight="1" x14ac:dyDescent="0.3">
      <c r="A162" s="24" t="s">
        <v>263</v>
      </c>
      <c r="B162" s="11" t="s">
        <v>262</v>
      </c>
      <c r="C162" s="11" t="s">
        <v>0</v>
      </c>
      <c r="D162" s="22">
        <v>208.07193915663996</v>
      </c>
    </row>
    <row r="163" spans="1:4" ht="17.399999999999999" x14ac:dyDescent="0.3">
      <c r="A163" s="24" t="s">
        <v>265</v>
      </c>
      <c r="B163" s="11" t="s">
        <v>264</v>
      </c>
      <c r="C163" s="11" t="s">
        <v>0</v>
      </c>
      <c r="D163" s="21">
        <v>82.277083322758259</v>
      </c>
    </row>
    <row r="164" spans="1:4" ht="20.25" customHeight="1" x14ac:dyDescent="0.3">
      <c r="A164" s="24" t="s">
        <v>267</v>
      </c>
      <c r="B164" s="11" t="s">
        <v>266</v>
      </c>
      <c r="C164" s="11" t="s">
        <v>0</v>
      </c>
      <c r="D164" s="21">
        <v>184.02389308609997</v>
      </c>
    </row>
    <row r="165" spans="1:4" ht="17.399999999999999" x14ac:dyDescent="0.3">
      <c r="A165" s="24" t="s">
        <v>269</v>
      </c>
      <c r="B165" s="11" t="s">
        <v>268</v>
      </c>
      <c r="C165" s="11" t="s">
        <v>0</v>
      </c>
      <c r="D165" s="21">
        <v>90.981265714021319</v>
      </c>
    </row>
    <row r="166" spans="1:4" ht="17.399999999999999" x14ac:dyDescent="0.3">
      <c r="A166" s="24" t="s">
        <v>271</v>
      </c>
      <c r="B166" s="11" t="s">
        <v>270</v>
      </c>
      <c r="C166" s="11" t="s">
        <v>0</v>
      </c>
      <c r="D166" s="21">
        <v>92.668570201167384</v>
      </c>
    </row>
    <row r="167" spans="1:4" ht="17.399999999999999" x14ac:dyDescent="0.3">
      <c r="A167" s="24" t="s">
        <v>273</v>
      </c>
      <c r="B167" s="11" t="s">
        <v>272</v>
      </c>
      <c r="C167" s="11" t="s">
        <v>0</v>
      </c>
      <c r="D167" s="19">
        <v>103.20727368731131</v>
      </c>
    </row>
    <row r="168" spans="1:4" ht="20.25" customHeight="1" x14ac:dyDescent="0.3">
      <c r="A168" s="24" t="s">
        <v>275</v>
      </c>
      <c r="B168" s="11" t="s">
        <v>274</v>
      </c>
      <c r="C168" s="11" t="s">
        <v>0</v>
      </c>
      <c r="D168" s="21">
        <v>115.07277621414877</v>
      </c>
    </row>
    <row r="169" spans="1:4" ht="20.25" customHeight="1" x14ac:dyDescent="0.3">
      <c r="A169" s="24" t="s">
        <v>277</v>
      </c>
      <c r="B169" s="11" t="s">
        <v>276</v>
      </c>
      <c r="C169" s="11" t="s">
        <v>0</v>
      </c>
      <c r="D169" s="21">
        <v>111.22234629993967</v>
      </c>
    </row>
    <row r="170" spans="1:4" ht="20.25" customHeight="1" x14ac:dyDescent="0.3">
      <c r="A170" s="24" t="s">
        <v>279</v>
      </c>
      <c r="B170" s="11" t="s">
        <v>278</v>
      </c>
      <c r="C170" s="11" t="s">
        <v>0</v>
      </c>
      <c r="D170" s="21">
        <v>179.02115635679996</v>
      </c>
    </row>
    <row r="171" spans="1:4" ht="20.25" customHeight="1" x14ac:dyDescent="0.3">
      <c r="A171" s="24" t="s">
        <v>281</v>
      </c>
      <c r="B171" s="11" t="s">
        <v>280</v>
      </c>
      <c r="C171" s="11" t="s">
        <v>0</v>
      </c>
      <c r="D171" s="21">
        <v>240.89844955173311</v>
      </c>
    </row>
    <row r="172" spans="1:4" ht="20.25" customHeight="1" x14ac:dyDescent="0.3">
      <c r="A172" s="24" t="s">
        <v>283</v>
      </c>
      <c r="B172" s="11" t="s">
        <v>282</v>
      </c>
      <c r="C172" s="11" t="s">
        <v>0</v>
      </c>
      <c r="D172" s="21">
        <v>29.348049334687495</v>
      </c>
    </row>
    <row r="173" spans="1:4" ht="20.25" customHeight="1" x14ac:dyDescent="0.3">
      <c r="A173" s="24" t="s">
        <v>285</v>
      </c>
      <c r="B173" s="11" t="s">
        <v>284</v>
      </c>
      <c r="C173" s="11" t="s">
        <v>0</v>
      </c>
      <c r="D173" s="21">
        <v>46.729112063499997</v>
      </c>
    </row>
    <row r="174" spans="1:4" ht="20.25" customHeight="1" x14ac:dyDescent="0.3">
      <c r="A174" s="24">
        <v>4517010</v>
      </c>
      <c r="B174" s="20" t="s">
        <v>286</v>
      </c>
      <c r="C174" s="11" t="s">
        <v>0</v>
      </c>
      <c r="D174" s="16">
        <v>103.4250604005</v>
      </c>
    </row>
    <row r="175" spans="1:4" ht="20.25" customHeight="1" x14ac:dyDescent="0.3">
      <c r="A175" s="24">
        <v>4517310</v>
      </c>
      <c r="B175" s="20" t="s">
        <v>287</v>
      </c>
      <c r="C175" s="23" t="s">
        <v>0</v>
      </c>
      <c r="D175" s="21">
        <v>126.045348015</v>
      </c>
    </row>
    <row r="176" spans="1:4" ht="20.25" customHeight="1" x14ac:dyDescent="0.3">
      <c r="A176" s="24" t="s">
        <v>289</v>
      </c>
      <c r="B176" s="20" t="s">
        <v>288</v>
      </c>
      <c r="C176" s="23" t="s">
        <v>0</v>
      </c>
      <c r="D176" s="21">
        <v>124.73379211250001</v>
      </c>
    </row>
    <row r="177" spans="1:4" ht="20.25" customHeight="1" x14ac:dyDescent="0.3">
      <c r="A177" s="24" t="s">
        <v>291</v>
      </c>
      <c r="B177" s="20" t="s">
        <v>290</v>
      </c>
      <c r="C177" s="23" t="s">
        <v>0</v>
      </c>
      <c r="D177" s="16">
        <v>118.86269084745</v>
      </c>
    </row>
    <row r="178" spans="1:4" ht="20.25" customHeight="1" x14ac:dyDescent="0.3">
      <c r="A178" s="24" t="s">
        <v>293</v>
      </c>
      <c r="B178" s="20" t="s">
        <v>292</v>
      </c>
      <c r="C178" s="23" t="s">
        <v>0</v>
      </c>
      <c r="D178" s="21">
        <v>76.164861305599985</v>
      </c>
    </row>
    <row r="179" spans="1:4" ht="20.25" customHeight="1" x14ac:dyDescent="0.3">
      <c r="A179" s="24" t="s">
        <v>295</v>
      </c>
      <c r="B179" s="20" t="s">
        <v>294</v>
      </c>
      <c r="C179" s="23" t="s">
        <v>0</v>
      </c>
      <c r="D179" s="21">
        <v>98.111458873599986</v>
      </c>
    </row>
    <row r="180" spans="1:4" ht="20.25" customHeight="1" x14ac:dyDescent="0.3">
      <c r="A180" s="24" t="s">
        <v>297</v>
      </c>
      <c r="B180" s="20" t="s">
        <v>296</v>
      </c>
      <c r="C180" s="23" t="s">
        <v>0</v>
      </c>
      <c r="D180" s="21">
        <v>42.666320954475637</v>
      </c>
    </row>
    <row r="181" spans="1:4" ht="20.25" customHeight="1" x14ac:dyDescent="0.3">
      <c r="A181" s="24" t="s">
        <v>299</v>
      </c>
      <c r="B181" s="20" t="s">
        <v>298</v>
      </c>
      <c r="C181" s="23" t="s">
        <v>0</v>
      </c>
      <c r="D181" s="21">
        <v>41.832183055578213</v>
      </c>
    </row>
    <row r="182" spans="1:4" ht="20.25" customHeight="1" x14ac:dyDescent="0.3">
      <c r="A182" s="24" t="s">
        <v>301</v>
      </c>
      <c r="B182" s="20" t="s">
        <v>300</v>
      </c>
      <c r="C182" s="23" t="s">
        <v>0</v>
      </c>
      <c r="D182" s="21">
        <v>28.14930302170773</v>
      </c>
    </row>
    <row r="183" spans="1:4" ht="20.25" customHeight="1" x14ac:dyDescent="0.3">
      <c r="A183" s="24" t="s">
        <v>303</v>
      </c>
      <c r="B183" s="20" t="s">
        <v>302</v>
      </c>
      <c r="C183" s="23" t="s">
        <v>0</v>
      </c>
      <c r="D183" s="21">
        <v>43.271052358033224</v>
      </c>
    </row>
    <row r="184" spans="1:4" ht="20.25" customHeight="1" x14ac:dyDescent="0.3">
      <c r="A184" s="24" t="s">
        <v>304</v>
      </c>
      <c r="B184" s="20" t="s">
        <v>302</v>
      </c>
      <c r="C184" s="23" t="s">
        <v>0</v>
      </c>
      <c r="D184" s="21">
        <f>+D183</f>
        <v>43.271052358033224</v>
      </c>
    </row>
    <row r="185" spans="1:4" ht="20.25" customHeight="1" x14ac:dyDescent="0.3">
      <c r="A185" s="24" t="s">
        <v>306</v>
      </c>
      <c r="B185" s="20" t="s">
        <v>305</v>
      </c>
      <c r="C185" s="23" t="s">
        <v>0</v>
      </c>
      <c r="D185" s="21">
        <v>27.7706532052722</v>
      </c>
    </row>
    <row r="186" spans="1:4" ht="20.25" customHeight="1" x14ac:dyDescent="0.3">
      <c r="A186" s="24" t="s">
        <v>308</v>
      </c>
      <c r="B186" s="20" t="s">
        <v>307</v>
      </c>
      <c r="C186" s="23" t="s">
        <v>0</v>
      </c>
      <c r="D186" s="21">
        <v>55.60441471328366</v>
      </c>
    </row>
    <row r="187" spans="1:4" ht="20.25" customHeight="1" x14ac:dyDescent="0.3">
      <c r="A187" s="24" t="s">
        <v>310</v>
      </c>
      <c r="B187" s="20" t="s">
        <v>309</v>
      </c>
      <c r="C187" s="23" t="s">
        <v>0</v>
      </c>
      <c r="D187" s="27">
        <v>63.163894992813994</v>
      </c>
    </row>
    <row r="188" spans="1:4" ht="20.25" customHeight="1" x14ac:dyDescent="0.3">
      <c r="A188" s="24" t="s">
        <v>312</v>
      </c>
      <c r="B188" s="20" t="s">
        <v>311</v>
      </c>
      <c r="C188" s="23" t="s">
        <v>0</v>
      </c>
      <c r="D188" s="21">
        <v>97.61010826367999</v>
      </c>
    </row>
    <row r="189" spans="1:4" ht="20.25" customHeight="1" x14ac:dyDescent="0.3">
      <c r="A189" s="24" t="s">
        <v>314</v>
      </c>
      <c r="B189" s="20" t="s">
        <v>313</v>
      </c>
      <c r="C189" s="23" t="s">
        <v>0</v>
      </c>
      <c r="D189" s="21">
        <v>38.149002851199988</v>
      </c>
    </row>
    <row r="190" spans="1:4" ht="17.399999999999999" x14ac:dyDescent="0.3">
      <c r="A190" s="24" t="s">
        <v>316</v>
      </c>
      <c r="B190" s="20" t="s">
        <v>315</v>
      </c>
      <c r="C190" s="23" t="s">
        <v>0</v>
      </c>
      <c r="D190" s="19">
        <v>44.278404599708779</v>
      </c>
    </row>
    <row r="191" spans="1:4" ht="17.399999999999999" x14ac:dyDescent="0.3">
      <c r="A191" s="24" t="s">
        <v>318</v>
      </c>
      <c r="B191" s="20" t="s">
        <v>317</v>
      </c>
      <c r="C191" s="23" t="s">
        <v>0</v>
      </c>
      <c r="D191" s="21">
        <v>54.075836826900002</v>
      </c>
    </row>
    <row r="192" spans="1:4" ht="20.25" customHeight="1" x14ac:dyDescent="0.3">
      <c r="A192" s="24" t="s">
        <v>320</v>
      </c>
      <c r="B192" s="20" t="s">
        <v>319</v>
      </c>
      <c r="C192" s="23" t="s">
        <v>0</v>
      </c>
      <c r="D192" s="21">
        <v>92.177730213119986</v>
      </c>
    </row>
    <row r="193" spans="1:4" ht="20.25" customHeight="1" x14ac:dyDescent="0.3">
      <c r="A193" s="24" t="s">
        <v>322</v>
      </c>
      <c r="B193" s="20" t="s">
        <v>321</v>
      </c>
      <c r="C193" s="23" t="s">
        <v>0</v>
      </c>
      <c r="D193" s="21">
        <v>108.26562204951999</v>
      </c>
    </row>
    <row r="194" spans="1:4" ht="20.25" customHeight="1" x14ac:dyDescent="0.3">
      <c r="A194" s="24" t="s">
        <v>324</v>
      </c>
      <c r="B194" s="20" t="s">
        <v>323</v>
      </c>
      <c r="C194" s="23" t="s">
        <v>0</v>
      </c>
      <c r="D194" s="21">
        <v>114.88162935144</v>
      </c>
    </row>
    <row r="195" spans="1:4" ht="20.25" customHeight="1" x14ac:dyDescent="0.3">
      <c r="A195" s="24">
        <v>7256392</v>
      </c>
      <c r="B195" s="20" t="s">
        <v>325</v>
      </c>
      <c r="C195" s="23" t="s">
        <v>0</v>
      </c>
      <c r="D195" s="16">
        <v>154.50047730809999</v>
      </c>
    </row>
    <row r="196" spans="1:4" ht="20.25" customHeight="1" x14ac:dyDescent="0.3">
      <c r="A196" s="24">
        <v>7259942</v>
      </c>
      <c r="B196" s="20" t="s">
        <v>326</v>
      </c>
      <c r="C196" s="23" t="s">
        <v>0</v>
      </c>
      <c r="D196" s="22">
        <v>161.15092425599997</v>
      </c>
    </row>
    <row r="197" spans="1:4" ht="20.25" customHeight="1" x14ac:dyDescent="0.3">
      <c r="A197" s="24" t="s">
        <v>328</v>
      </c>
      <c r="B197" s="20" t="s">
        <v>327</v>
      </c>
      <c r="C197" s="23" t="s">
        <v>0</v>
      </c>
      <c r="D197" s="21">
        <v>114.86934418560459</v>
      </c>
    </row>
    <row r="198" spans="1:4" ht="20.25" customHeight="1" x14ac:dyDescent="0.3">
      <c r="A198" s="24" t="s">
        <v>330</v>
      </c>
      <c r="B198" s="20" t="s">
        <v>329</v>
      </c>
      <c r="C198" s="23" t="s">
        <v>0</v>
      </c>
      <c r="D198" s="21">
        <v>145.53086481734999</v>
      </c>
    </row>
    <row r="199" spans="1:4" ht="20.25" customHeight="1" x14ac:dyDescent="0.3">
      <c r="A199" s="25" t="s">
        <v>332</v>
      </c>
      <c r="B199" s="20" t="s">
        <v>331</v>
      </c>
      <c r="C199" s="23" t="s">
        <v>0</v>
      </c>
      <c r="D199" s="28">
        <v>119.18630536887999</v>
      </c>
    </row>
    <row r="200" spans="1:4" ht="20.25" customHeight="1" x14ac:dyDescent="0.3">
      <c r="A200" s="24" t="s">
        <v>334</v>
      </c>
      <c r="B200" s="20" t="s">
        <v>333</v>
      </c>
      <c r="C200" s="23" t="s">
        <v>0</v>
      </c>
      <c r="D200" s="21">
        <v>113.03226006327999</v>
      </c>
    </row>
    <row r="201" spans="1:4" ht="20.25" customHeight="1" x14ac:dyDescent="0.3">
      <c r="A201" s="24" t="s">
        <v>336</v>
      </c>
      <c r="B201" s="20" t="s">
        <v>335</v>
      </c>
      <c r="C201" s="23" t="s">
        <v>0</v>
      </c>
      <c r="D201" s="21">
        <v>105.29464130070001</v>
      </c>
    </row>
    <row r="202" spans="1:4" ht="20.25" customHeight="1" x14ac:dyDescent="0.3">
      <c r="A202" s="24" t="s">
        <v>338</v>
      </c>
      <c r="B202" s="20" t="s">
        <v>337</v>
      </c>
      <c r="C202" s="23" t="s">
        <v>0</v>
      </c>
      <c r="D202" s="19">
        <v>70.480966536239976</v>
      </c>
    </row>
    <row r="203" spans="1:4" ht="20.25" customHeight="1" x14ac:dyDescent="0.3">
      <c r="A203" s="24" t="s">
        <v>340</v>
      </c>
      <c r="B203" s="20" t="s">
        <v>339</v>
      </c>
      <c r="C203" s="23" t="s">
        <v>0</v>
      </c>
      <c r="D203" s="19">
        <v>70.47296653623998</v>
      </c>
    </row>
    <row r="204" spans="1:4" ht="20.25" customHeight="1" x14ac:dyDescent="0.3">
      <c r="A204" s="24" t="s">
        <v>342</v>
      </c>
      <c r="B204" s="20" t="s">
        <v>341</v>
      </c>
      <c r="C204" s="23" t="s">
        <v>0</v>
      </c>
      <c r="D204" s="21">
        <v>170.56818881359999</v>
      </c>
    </row>
    <row r="205" spans="1:4" ht="20.25" customHeight="1" x14ac:dyDescent="0.3">
      <c r="A205" s="31" t="s">
        <v>344</v>
      </c>
      <c r="B205" s="30" t="s">
        <v>343</v>
      </c>
      <c r="C205" s="29" t="s">
        <v>0</v>
      </c>
      <c r="D205" s="21">
        <f>D204</f>
        <v>170.56818881359999</v>
      </c>
    </row>
    <row r="206" spans="1:4" ht="20.25" customHeight="1" x14ac:dyDescent="0.3">
      <c r="A206" s="24" t="s">
        <v>346</v>
      </c>
      <c r="B206" s="20" t="s">
        <v>345</v>
      </c>
      <c r="C206" s="23" t="s">
        <v>0</v>
      </c>
      <c r="D206" s="21">
        <v>168.86826994769996</v>
      </c>
    </row>
    <row r="207" spans="1:4" ht="20.25" customHeight="1" x14ac:dyDescent="0.3">
      <c r="A207" s="24" t="s">
        <v>348</v>
      </c>
      <c r="B207" s="20" t="s">
        <v>347</v>
      </c>
      <c r="C207" s="23" t="s">
        <v>0</v>
      </c>
      <c r="D207" s="21">
        <v>154.19093871743999</v>
      </c>
    </row>
    <row r="208" spans="1:4" ht="20.25" customHeight="1" x14ac:dyDescent="0.3">
      <c r="A208" s="24" t="s">
        <v>350</v>
      </c>
      <c r="B208" s="20" t="s">
        <v>349</v>
      </c>
      <c r="C208" s="23" t="s">
        <v>0</v>
      </c>
      <c r="D208" s="21">
        <v>111.04886044465</v>
      </c>
    </row>
    <row r="209" spans="1:4" ht="20.25" customHeight="1" x14ac:dyDescent="0.3">
      <c r="A209" s="24" t="s">
        <v>352</v>
      </c>
      <c r="B209" s="20" t="s">
        <v>351</v>
      </c>
      <c r="C209" s="23" t="s">
        <v>0</v>
      </c>
      <c r="D209" s="21">
        <v>108.27815580382999</v>
      </c>
    </row>
    <row r="210" spans="1:4" ht="20.25" customHeight="1" x14ac:dyDescent="0.3">
      <c r="A210" s="24" t="s">
        <v>354</v>
      </c>
      <c r="B210" s="20" t="s">
        <v>353</v>
      </c>
      <c r="C210" s="23" t="s">
        <v>0</v>
      </c>
      <c r="D210" s="19">
        <v>75.077036858059984</v>
      </c>
    </row>
    <row r="211" spans="1:4" ht="20.25" customHeight="1" x14ac:dyDescent="0.3">
      <c r="A211" s="24" t="s">
        <v>356</v>
      </c>
      <c r="B211" s="20" t="s">
        <v>355</v>
      </c>
      <c r="C211" s="23" t="s">
        <v>0</v>
      </c>
      <c r="D211" s="21">
        <v>77.567675561459993</v>
      </c>
    </row>
    <row r="212" spans="1:4" ht="20.25" customHeight="1" x14ac:dyDescent="0.3">
      <c r="A212" s="24" t="s">
        <v>358</v>
      </c>
      <c r="B212" s="20" t="s">
        <v>357</v>
      </c>
      <c r="C212" s="23" t="s">
        <v>0</v>
      </c>
      <c r="D212" s="21">
        <v>64.123312850389993</v>
      </c>
    </row>
    <row r="213" spans="1:4" ht="20.25" customHeight="1" x14ac:dyDescent="0.3">
      <c r="A213" s="24" t="s">
        <v>360</v>
      </c>
      <c r="B213" s="20" t="s">
        <v>359</v>
      </c>
      <c r="C213" s="23" t="s">
        <v>0</v>
      </c>
      <c r="D213" s="21">
        <v>65.921060818389989</v>
      </c>
    </row>
    <row r="214" spans="1:4" ht="20.25" customHeight="1" x14ac:dyDescent="0.3">
      <c r="A214" s="24" t="s">
        <v>362</v>
      </c>
      <c r="B214" s="20" t="s">
        <v>361</v>
      </c>
      <c r="C214" s="23" t="s">
        <v>0</v>
      </c>
      <c r="D214" s="21">
        <v>51.93193554778</v>
      </c>
    </row>
    <row r="215" spans="1:4" ht="20.25" customHeight="1" x14ac:dyDescent="0.3">
      <c r="A215" s="24" t="s">
        <v>364</v>
      </c>
      <c r="B215" s="20" t="s">
        <v>363</v>
      </c>
      <c r="C215" s="23" t="s">
        <v>0</v>
      </c>
      <c r="D215" s="21">
        <v>165.92988107694001</v>
      </c>
    </row>
    <row r="216" spans="1:4" ht="20.25" customHeight="1" x14ac:dyDescent="0.3">
      <c r="A216" s="34" t="s">
        <v>365</v>
      </c>
      <c r="B216" s="33" t="s">
        <v>363</v>
      </c>
      <c r="C216" s="32" t="s">
        <v>0</v>
      </c>
      <c r="D216" s="35">
        <v>165.92988107694001</v>
      </c>
    </row>
    <row r="217" spans="1:4" ht="20.25" customHeight="1" x14ac:dyDescent="0.3">
      <c r="A217" s="24" t="s">
        <v>367</v>
      </c>
      <c r="B217" s="20" t="s">
        <v>366</v>
      </c>
      <c r="C217" s="23" t="s">
        <v>0</v>
      </c>
      <c r="D217" s="21">
        <v>83.838888595262276</v>
      </c>
    </row>
    <row r="218" spans="1:4" ht="20.25" customHeight="1" x14ac:dyDescent="0.3">
      <c r="A218" s="24" t="s">
        <v>369</v>
      </c>
      <c r="B218" s="20" t="s">
        <v>368</v>
      </c>
      <c r="C218" s="23" t="s">
        <v>0</v>
      </c>
      <c r="D218" s="21">
        <v>83.838888595262276</v>
      </c>
    </row>
    <row r="219" spans="1:4" ht="20.25" customHeight="1" x14ac:dyDescent="0.3">
      <c r="A219" s="24" t="s">
        <v>371</v>
      </c>
      <c r="B219" s="20" t="s">
        <v>370</v>
      </c>
      <c r="C219" s="23" t="s">
        <v>0</v>
      </c>
      <c r="D219" s="19">
        <v>115.89388744721056</v>
      </c>
    </row>
    <row r="220" spans="1:4" ht="20.25" customHeight="1" x14ac:dyDescent="0.3">
      <c r="A220" s="24" t="s">
        <v>373</v>
      </c>
      <c r="B220" s="20" t="s">
        <v>372</v>
      </c>
      <c r="C220" s="23" t="s">
        <v>0</v>
      </c>
      <c r="D220" s="21">
        <v>64.603215086605488</v>
      </c>
    </row>
    <row r="221" spans="1:4" ht="20.25" customHeight="1" x14ac:dyDescent="0.3">
      <c r="A221" s="24" t="s">
        <v>375</v>
      </c>
      <c r="B221" s="20" t="s">
        <v>374</v>
      </c>
      <c r="C221" s="23" t="s">
        <v>0</v>
      </c>
      <c r="D221" s="21">
        <v>78.707663678669249</v>
      </c>
    </row>
    <row r="222" spans="1:4" ht="20.25" customHeight="1" x14ac:dyDescent="0.3">
      <c r="A222" s="36" t="s">
        <v>377</v>
      </c>
      <c r="B222" s="20" t="s">
        <v>376</v>
      </c>
      <c r="C222" s="23" t="s">
        <v>0</v>
      </c>
      <c r="D222" s="21">
        <v>126.0851886552</v>
      </c>
    </row>
    <row r="223" spans="1:4" ht="20.25" customHeight="1" x14ac:dyDescent="0.3">
      <c r="A223" s="24" t="s">
        <v>379</v>
      </c>
      <c r="B223" s="20" t="s">
        <v>378</v>
      </c>
      <c r="C223" s="23" t="s">
        <v>0</v>
      </c>
      <c r="D223" s="21">
        <v>96.006419942983655</v>
      </c>
    </row>
    <row r="224" spans="1:4" ht="20.25" customHeight="1" x14ac:dyDescent="0.3">
      <c r="A224" s="24" t="s">
        <v>381</v>
      </c>
      <c r="B224" s="20" t="s">
        <v>380</v>
      </c>
      <c r="C224" s="23" t="s">
        <v>0</v>
      </c>
      <c r="D224" s="21">
        <v>176.24102325524998</v>
      </c>
    </row>
    <row r="225" spans="1:4" ht="20.25" customHeight="1" x14ac:dyDescent="0.3">
      <c r="A225" s="24" t="s">
        <v>383</v>
      </c>
      <c r="B225" s="20" t="s">
        <v>382</v>
      </c>
      <c r="C225" s="23" t="s">
        <v>0</v>
      </c>
      <c r="D225" s="21">
        <v>110.01459266618738</v>
      </c>
    </row>
    <row r="226" spans="1:4" ht="20.25" customHeight="1" x14ac:dyDescent="0.3">
      <c r="A226" s="24" t="s">
        <v>385</v>
      </c>
      <c r="B226" s="20" t="s">
        <v>384</v>
      </c>
      <c r="C226" s="23" t="s">
        <v>0</v>
      </c>
      <c r="D226" s="21">
        <v>120.36709700419003</v>
      </c>
    </row>
    <row r="227" spans="1:4" ht="20.25" customHeight="1" x14ac:dyDescent="0.3">
      <c r="A227" s="24" t="s">
        <v>387</v>
      </c>
      <c r="B227" s="20" t="s">
        <v>386</v>
      </c>
      <c r="C227" s="23" t="s">
        <v>0</v>
      </c>
      <c r="D227" s="21">
        <v>103.94297272583998</v>
      </c>
    </row>
    <row r="228" spans="1:4" ht="20.25" customHeight="1" x14ac:dyDescent="0.3">
      <c r="A228" s="31" t="s">
        <v>389</v>
      </c>
      <c r="B228" s="30" t="s">
        <v>388</v>
      </c>
      <c r="C228" s="29" t="s">
        <v>0</v>
      </c>
      <c r="D228" s="21">
        <v>106.1519130322</v>
      </c>
    </row>
    <row r="229" spans="1:4" ht="20.25" customHeight="1" x14ac:dyDescent="0.3">
      <c r="A229" s="24" t="s">
        <v>391</v>
      </c>
      <c r="B229" s="20" t="s">
        <v>390</v>
      </c>
      <c r="C229" s="23" t="s">
        <v>0</v>
      </c>
      <c r="D229" s="21">
        <v>135.98910073078969</v>
      </c>
    </row>
    <row r="230" spans="1:4" ht="20.25" customHeight="1" x14ac:dyDescent="0.3">
      <c r="A230" s="24" t="s">
        <v>393</v>
      </c>
      <c r="B230" s="20" t="s">
        <v>392</v>
      </c>
      <c r="C230" s="23" t="s">
        <v>0</v>
      </c>
      <c r="D230" s="21">
        <v>150.52010123521998</v>
      </c>
    </row>
    <row r="231" spans="1:4" ht="20.25" customHeight="1" x14ac:dyDescent="0.3">
      <c r="A231" s="24" t="s">
        <v>395</v>
      </c>
      <c r="B231" s="20" t="s">
        <v>394</v>
      </c>
      <c r="C231" s="23" t="s">
        <v>0</v>
      </c>
      <c r="D231" s="21">
        <v>2.7158572403199996</v>
      </c>
    </row>
    <row r="232" spans="1:4" ht="20.25" customHeight="1" x14ac:dyDescent="0.3">
      <c r="A232" s="24" t="s">
        <v>397</v>
      </c>
      <c r="B232" s="20" t="s">
        <v>396</v>
      </c>
      <c r="C232" s="23" t="s">
        <v>0</v>
      </c>
      <c r="D232" s="19">
        <v>114.60619771179</v>
      </c>
    </row>
    <row r="233" spans="1:4" ht="20.25" customHeight="1" x14ac:dyDescent="0.3">
      <c r="A233" s="24" t="s">
        <v>399</v>
      </c>
      <c r="B233" s="20" t="s">
        <v>398</v>
      </c>
      <c r="C233" s="23" t="s">
        <v>0</v>
      </c>
      <c r="D233" s="21">
        <v>67.968755876894178</v>
      </c>
    </row>
    <row r="234" spans="1:4" ht="20.25" customHeight="1" x14ac:dyDescent="0.3">
      <c r="A234" s="24" t="s">
        <v>401</v>
      </c>
      <c r="B234" s="20" t="s">
        <v>400</v>
      </c>
      <c r="C234" s="23" t="s">
        <v>0</v>
      </c>
      <c r="D234" s="19">
        <v>119.66801937136</v>
      </c>
    </row>
    <row r="235" spans="1:4" ht="20.25" customHeight="1" x14ac:dyDescent="0.3">
      <c r="A235" s="24" t="s">
        <v>403</v>
      </c>
      <c r="B235" s="20" t="s">
        <v>402</v>
      </c>
      <c r="C235" s="23" t="s">
        <v>0</v>
      </c>
      <c r="D235" s="21">
        <v>173.9225818749</v>
      </c>
    </row>
    <row r="236" spans="1:4" ht="20.25" customHeight="1" x14ac:dyDescent="0.3">
      <c r="A236" s="24" t="s">
        <v>405</v>
      </c>
      <c r="B236" s="20" t="s">
        <v>404</v>
      </c>
      <c r="C236" s="23" t="s">
        <v>0</v>
      </c>
      <c r="D236" s="21">
        <v>173.9225818749</v>
      </c>
    </row>
    <row r="237" spans="1:4" ht="20.25" customHeight="1" x14ac:dyDescent="0.3">
      <c r="A237" s="24" t="s">
        <v>407</v>
      </c>
      <c r="B237" s="20" t="s">
        <v>406</v>
      </c>
      <c r="C237" s="23" t="s">
        <v>0</v>
      </c>
      <c r="D237" s="21">
        <v>217.24781454846999</v>
      </c>
    </row>
    <row r="238" spans="1:4" ht="20.25" customHeight="1" x14ac:dyDescent="0.3">
      <c r="A238" s="24" t="s">
        <v>409</v>
      </c>
      <c r="B238" s="20" t="s">
        <v>408</v>
      </c>
      <c r="C238" s="23" t="s">
        <v>0</v>
      </c>
      <c r="D238" s="21">
        <v>77.575995729359974</v>
      </c>
    </row>
    <row r="239" spans="1:4" ht="20.25" customHeight="1" x14ac:dyDescent="0.3">
      <c r="A239" s="24" t="s">
        <v>411</v>
      </c>
      <c r="B239" s="20" t="s">
        <v>410</v>
      </c>
      <c r="C239" s="23" t="s">
        <v>0</v>
      </c>
      <c r="D239" s="21">
        <v>92.235071356009996</v>
      </c>
    </row>
    <row r="240" spans="1:4" ht="20.25" customHeight="1" x14ac:dyDescent="0.3">
      <c r="A240" s="24" t="s">
        <v>413</v>
      </c>
      <c r="B240" s="20" t="s">
        <v>412</v>
      </c>
      <c r="C240" s="23" t="s">
        <v>0</v>
      </c>
      <c r="D240" s="21">
        <v>114.08294479065002</v>
      </c>
    </row>
    <row r="241" spans="1:4" ht="20.25" customHeight="1" x14ac:dyDescent="0.3">
      <c r="A241" s="24" t="s">
        <v>415</v>
      </c>
      <c r="B241" s="20" t="s">
        <v>414</v>
      </c>
      <c r="C241" s="23" t="s">
        <v>0</v>
      </c>
      <c r="D241" s="21">
        <v>63.759780794632995</v>
      </c>
    </row>
    <row r="242" spans="1:4" ht="20.25" customHeight="1" x14ac:dyDescent="0.3">
      <c r="A242" s="24" t="s">
        <v>417</v>
      </c>
      <c r="B242" s="20" t="s">
        <v>416</v>
      </c>
      <c r="C242" s="23" t="s">
        <v>0</v>
      </c>
      <c r="D242" s="21">
        <v>148.19159136479996</v>
      </c>
    </row>
    <row r="243" spans="1:4" ht="20.25" customHeight="1" x14ac:dyDescent="0.3">
      <c r="A243" s="24" t="s">
        <v>419</v>
      </c>
      <c r="B243" s="20" t="s">
        <v>418</v>
      </c>
      <c r="C243" s="23" t="s">
        <v>0</v>
      </c>
      <c r="D243" s="19">
        <v>41.371345547005006</v>
      </c>
    </row>
    <row r="244" spans="1:4" ht="20.25" customHeight="1" x14ac:dyDescent="0.3">
      <c r="A244" s="24" t="s">
        <v>421</v>
      </c>
      <c r="B244" s="20" t="s">
        <v>420</v>
      </c>
      <c r="C244" s="23" t="s">
        <v>0</v>
      </c>
      <c r="D244" s="21">
        <v>61.038350409407428</v>
      </c>
    </row>
    <row r="245" spans="1:4" ht="20.25" customHeight="1" x14ac:dyDescent="0.3">
      <c r="A245" s="24" t="s">
        <v>423</v>
      </c>
      <c r="B245" s="20" t="s">
        <v>422</v>
      </c>
      <c r="C245" s="23" t="s">
        <v>0</v>
      </c>
      <c r="D245" s="21">
        <v>180.25893503099999</v>
      </c>
    </row>
    <row r="246" spans="1:4" ht="20.25" customHeight="1" x14ac:dyDescent="0.3">
      <c r="A246" s="24" t="s">
        <v>425</v>
      </c>
      <c r="B246" s="20" t="s">
        <v>424</v>
      </c>
      <c r="C246" s="23" t="s">
        <v>0</v>
      </c>
      <c r="D246" s="21">
        <v>173.47691569319997</v>
      </c>
    </row>
    <row r="247" spans="1:4" ht="20.25" customHeight="1" x14ac:dyDescent="0.3">
      <c r="A247" s="24" t="s">
        <v>427</v>
      </c>
      <c r="B247" s="20" t="s">
        <v>426</v>
      </c>
      <c r="C247" s="23" t="s">
        <v>0</v>
      </c>
      <c r="D247" s="21">
        <v>183.34542801799998</v>
      </c>
    </row>
    <row r="248" spans="1:4" ht="20.25" customHeight="1" x14ac:dyDescent="0.3">
      <c r="A248" s="24" t="s">
        <v>429</v>
      </c>
      <c r="B248" s="20" t="s">
        <v>428</v>
      </c>
      <c r="C248" s="23" t="s">
        <v>0</v>
      </c>
      <c r="D248" s="21">
        <v>183.34414304835994</v>
      </c>
    </row>
    <row r="249" spans="1:4" ht="20.25" customHeight="1" x14ac:dyDescent="0.3">
      <c r="A249" s="24" t="s">
        <v>431</v>
      </c>
      <c r="B249" s="20" t="s">
        <v>430</v>
      </c>
      <c r="C249" s="23" t="s">
        <v>0</v>
      </c>
      <c r="D249" s="21">
        <v>142.1783365</v>
      </c>
    </row>
    <row r="250" spans="1:4" ht="20.25" customHeight="1" x14ac:dyDescent="0.3">
      <c r="A250" s="24" t="s">
        <v>433</v>
      </c>
      <c r="B250" s="20" t="s">
        <v>432</v>
      </c>
      <c r="C250" s="23" t="s">
        <v>0</v>
      </c>
      <c r="D250" s="21">
        <v>141.18175937499998</v>
      </c>
    </row>
    <row r="251" spans="1:4" ht="20.25" customHeight="1" x14ac:dyDescent="0.3">
      <c r="A251" s="36" t="s">
        <v>435</v>
      </c>
      <c r="B251" s="20" t="s">
        <v>434</v>
      </c>
      <c r="C251" s="23" t="s">
        <v>0</v>
      </c>
      <c r="D251" s="21">
        <v>118.4386586314783</v>
      </c>
    </row>
    <row r="252" spans="1:4" ht="20.25" customHeight="1" x14ac:dyDescent="0.3">
      <c r="A252" s="24" t="s">
        <v>437</v>
      </c>
      <c r="B252" s="20" t="s">
        <v>436</v>
      </c>
      <c r="C252" s="23" t="s">
        <v>0</v>
      </c>
      <c r="D252" s="21">
        <v>204.15630010422998</v>
      </c>
    </row>
    <row r="253" spans="1:4" ht="20.25" customHeight="1" x14ac:dyDescent="0.3">
      <c r="A253" s="24" t="s">
        <v>439</v>
      </c>
      <c r="B253" s="20" t="s">
        <v>438</v>
      </c>
      <c r="C253" s="23" t="s">
        <v>0</v>
      </c>
      <c r="D253" s="21">
        <v>207.83450751582188</v>
      </c>
    </row>
    <row r="254" spans="1:4" ht="20.25" customHeight="1" x14ac:dyDescent="0.3">
      <c r="A254" s="34" t="s">
        <v>441</v>
      </c>
      <c r="B254" s="33" t="s">
        <v>440</v>
      </c>
      <c r="C254" s="32" t="s">
        <v>0</v>
      </c>
      <c r="D254" s="37">
        <v>87.891746650519991</v>
      </c>
    </row>
    <row r="255" spans="1:4" ht="20.25" customHeight="1" x14ac:dyDescent="0.3">
      <c r="A255" s="34" t="s">
        <v>443</v>
      </c>
      <c r="B255" s="33" t="s">
        <v>442</v>
      </c>
      <c r="C255" s="32" t="s">
        <v>0</v>
      </c>
      <c r="D255" s="37">
        <v>107.91869105459999</v>
      </c>
    </row>
    <row r="256" spans="1:4" ht="20.25" customHeight="1" x14ac:dyDescent="0.3">
      <c r="A256" s="34" t="s">
        <v>445</v>
      </c>
      <c r="B256" s="33" t="s">
        <v>444</v>
      </c>
      <c r="C256" s="32" t="s">
        <v>0</v>
      </c>
      <c r="D256" s="37">
        <v>106.39650747699999</v>
      </c>
    </row>
    <row r="257" spans="1:4" ht="20.25" customHeight="1" x14ac:dyDescent="0.3">
      <c r="A257" s="34" t="s">
        <v>447</v>
      </c>
      <c r="B257" s="33" t="s">
        <v>446</v>
      </c>
      <c r="C257" s="32" t="s">
        <v>0</v>
      </c>
      <c r="D257" s="37">
        <v>41.498446454983515</v>
      </c>
    </row>
    <row r="258" spans="1:4" ht="20.25" customHeight="1" x14ac:dyDescent="0.3">
      <c r="A258" s="34" t="s">
        <v>449</v>
      </c>
      <c r="B258" s="33" t="s">
        <v>448</v>
      </c>
      <c r="C258" s="32" t="s">
        <v>0</v>
      </c>
      <c r="D258" s="37">
        <v>78.06316961225383</v>
      </c>
    </row>
    <row r="259" spans="1:4" ht="20.25" customHeight="1" x14ac:dyDescent="0.3">
      <c r="A259" s="34" t="s">
        <v>451</v>
      </c>
      <c r="B259" s="33" t="s">
        <v>450</v>
      </c>
      <c r="C259" s="32" t="s">
        <v>0</v>
      </c>
      <c r="D259" s="37">
        <v>115.16094100880001</v>
      </c>
    </row>
    <row r="260" spans="1:4" ht="20.25" customHeight="1" x14ac:dyDescent="0.3">
      <c r="A260" s="34" t="s">
        <v>453</v>
      </c>
      <c r="B260" s="33" t="s">
        <v>452</v>
      </c>
      <c r="C260" s="32" t="s">
        <v>0</v>
      </c>
      <c r="D260" s="37">
        <v>98.660533945679987</v>
      </c>
    </row>
    <row r="261" spans="1:4" ht="20.25" customHeight="1" x14ac:dyDescent="0.3">
      <c r="A261" s="34" t="s">
        <v>455</v>
      </c>
      <c r="B261" s="33" t="s">
        <v>454</v>
      </c>
      <c r="C261" s="32" t="s">
        <v>0</v>
      </c>
      <c r="D261" s="37">
        <v>64.249508983136806</v>
      </c>
    </row>
    <row r="262" spans="1:4" ht="20.25" customHeight="1" x14ac:dyDescent="0.3">
      <c r="A262" s="34" t="s">
        <v>457</v>
      </c>
      <c r="B262" s="33" t="s">
        <v>456</v>
      </c>
      <c r="C262" s="32" t="s">
        <v>0</v>
      </c>
      <c r="D262" s="37">
        <v>91.743698073599987</v>
      </c>
    </row>
    <row r="263" spans="1:4" ht="20.25" customHeight="1" x14ac:dyDescent="0.3">
      <c r="A263" s="34" t="s">
        <v>459</v>
      </c>
      <c r="B263" s="33" t="s">
        <v>458</v>
      </c>
      <c r="C263" s="32" t="s">
        <v>0</v>
      </c>
      <c r="D263" s="37">
        <v>98.225380725759976</v>
      </c>
    </row>
    <row r="264" spans="1:4" ht="20.25" customHeight="1" x14ac:dyDescent="0.3">
      <c r="A264" s="34" t="s">
        <v>461</v>
      </c>
      <c r="B264" s="33" t="s">
        <v>460</v>
      </c>
      <c r="C264" s="32" t="s">
        <v>0</v>
      </c>
      <c r="D264" s="37">
        <v>105.29820803219496</v>
      </c>
    </row>
    <row r="265" spans="1:4" ht="20.25" customHeight="1" x14ac:dyDescent="0.3">
      <c r="A265" s="34" t="s">
        <v>463</v>
      </c>
      <c r="B265" s="33" t="s">
        <v>462</v>
      </c>
      <c r="C265" s="32" t="s">
        <v>0</v>
      </c>
      <c r="D265" s="37">
        <v>120.92374389978596</v>
      </c>
    </row>
    <row r="266" spans="1:4" ht="20.25" customHeight="1" x14ac:dyDescent="0.3">
      <c r="A266" s="34" t="s">
        <v>465</v>
      </c>
      <c r="B266" s="33" t="s">
        <v>464</v>
      </c>
      <c r="C266" s="32" t="s">
        <v>0</v>
      </c>
      <c r="D266" s="37">
        <v>117.22341135293117</v>
      </c>
    </row>
    <row r="267" spans="1:4" ht="20.25" customHeight="1" x14ac:dyDescent="0.3">
      <c r="A267" s="34" t="s">
        <v>467</v>
      </c>
      <c r="B267" s="33" t="s">
        <v>466</v>
      </c>
      <c r="C267" s="32" t="s">
        <v>0</v>
      </c>
      <c r="D267" s="37">
        <v>108.09484130543999</v>
      </c>
    </row>
    <row r="268" spans="1:4" ht="20.25" customHeight="1" x14ac:dyDescent="0.3">
      <c r="A268" s="34" t="s">
        <v>469</v>
      </c>
      <c r="B268" s="33" t="s">
        <v>468</v>
      </c>
      <c r="C268" s="32" t="s">
        <v>0</v>
      </c>
      <c r="D268" s="37">
        <v>115.44988045528</v>
      </c>
    </row>
    <row r="269" spans="1:4" ht="20.25" customHeight="1" x14ac:dyDescent="0.3">
      <c r="A269" s="34" t="s">
        <v>471</v>
      </c>
      <c r="B269" s="33" t="s">
        <v>470</v>
      </c>
      <c r="C269" s="32" t="s">
        <v>0</v>
      </c>
      <c r="D269" s="37">
        <v>115.44988045528</v>
      </c>
    </row>
    <row r="270" spans="1:4" ht="20.25" customHeight="1" x14ac:dyDescent="0.3">
      <c r="A270" s="34" t="s">
        <v>473</v>
      </c>
      <c r="B270" s="33" t="s">
        <v>472</v>
      </c>
      <c r="C270" s="32" t="s">
        <v>0</v>
      </c>
      <c r="D270" s="37">
        <v>121.39636641032833</v>
      </c>
    </row>
    <row r="271" spans="1:4" ht="20.25" customHeight="1" x14ac:dyDescent="0.3">
      <c r="A271" s="34" t="s">
        <v>475</v>
      </c>
      <c r="B271" s="33" t="s">
        <v>474</v>
      </c>
      <c r="C271" s="32" t="s">
        <v>0</v>
      </c>
      <c r="D271" s="37">
        <v>100.8041334708</v>
      </c>
    </row>
    <row r="272" spans="1:4" ht="20.25" customHeight="1" x14ac:dyDescent="0.3">
      <c r="A272" s="34" t="s">
        <v>477</v>
      </c>
      <c r="B272" s="33" t="s">
        <v>476</v>
      </c>
      <c r="C272" s="32" t="s">
        <v>0</v>
      </c>
      <c r="D272" s="37">
        <v>135.26440927586003</v>
      </c>
    </row>
    <row r="273" spans="1:4" ht="20.25" customHeight="1" x14ac:dyDescent="0.3">
      <c r="A273" s="34" t="s">
        <v>478</v>
      </c>
      <c r="B273" s="33" t="s">
        <v>476</v>
      </c>
      <c r="C273" s="32" t="s">
        <v>0</v>
      </c>
      <c r="D273" s="37">
        <f>+D272</f>
        <v>135.26440927586003</v>
      </c>
    </row>
    <row r="274" spans="1:4" ht="20.25" customHeight="1" x14ac:dyDescent="0.3">
      <c r="A274" s="34" t="s">
        <v>480</v>
      </c>
      <c r="B274" s="33" t="s">
        <v>479</v>
      </c>
      <c r="C274" s="32" t="s">
        <v>0</v>
      </c>
      <c r="D274" s="37">
        <v>141.30116137924</v>
      </c>
    </row>
    <row r="275" spans="1:4" ht="20.25" customHeight="1" x14ac:dyDescent="0.3">
      <c r="A275" s="34" t="s">
        <v>481</v>
      </c>
      <c r="B275" s="33" t="s">
        <v>479</v>
      </c>
      <c r="C275" s="32" t="s">
        <v>0</v>
      </c>
      <c r="D275" s="37">
        <f>+D274</f>
        <v>141.30116137924</v>
      </c>
    </row>
    <row r="276" spans="1:4" ht="20.25" customHeight="1" x14ac:dyDescent="0.3">
      <c r="A276" s="34" t="s">
        <v>483</v>
      </c>
      <c r="B276" s="33" t="s">
        <v>482</v>
      </c>
      <c r="C276" s="32" t="s">
        <v>0</v>
      </c>
      <c r="D276" s="37">
        <v>64.244943274402388</v>
      </c>
    </row>
    <row r="277" spans="1:4" ht="20.25" customHeight="1" x14ac:dyDescent="0.3">
      <c r="A277" s="34" t="s">
        <v>485</v>
      </c>
      <c r="B277" s="33" t="s">
        <v>484</v>
      </c>
      <c r="C277" s="32" t="s">
        <v>0</v>
      </c>
      <c r="D277" s="37">
        <v>118.6875132427996</v>
      </c>
    </row>
    <row r="278" spans="1:4" ht="20.25" customHeight="1" x14ac:dyDescent="0.3">
      <c r="A278" s="34" t="s">
        <v>487</v>
      </c>
      <c r="B278" s="33" t="s">
        <v>486</v>
      </c>
      <c r="C278" s="32" t="s">
        <v>0</v>
      </c>
      <c r="D278" s="37">
        <v>109.33250204014759</v>
      </c>
    </row>
    <row r="279" spans="1:4" ht="20.25" customHeight="1" x14ac:dyDescent="0.3">
      <c r="A279" s="34" t="s">
        <v>489</v>
      </c>
      <c r="B279" s="33" t="s">
        <v>488</v>
      </c>
      <c r="C279" s="32" t="s">
        <v>0</v>
      </c>
      <c r="D279" s="37">
        <v>195.92346807945</v>
      </c>
    </row>
    <row r="280" spans="1:4" ht="20.25" customHeight="1" x14ac:dyDescent="0.3">
      <c r="A280" s="34" t="s">
        <v>491</v>
      </c>
      <c r="B280" s="33" t="s">
        <v>490</v>
      </c>
      <c r="C280" s="32" t="s">
        <v>0</v>
      </c>
      <c r="D280" s="35">
        <v>34.145107365806318</v>
      </c>
    </row>
    <row r="281" spans="1:4" ht="20.25" customHeight="1" x14ac:dyDescent="0.3">
      <c r="A281" s="34" t="s">
        <v>493</v>
      </c>
      <c r="B281" s="33" t="s">
        <v>492</v>
      </c>
      <c r="C281" s="32" t="s">
        <v>0</v>
      </c>
      <c r="D281" s="37">
        <v>83.209434347839959</v>
      </c>
    </row>
    <row r="282" spans="1:4" ht="20.25" customHeight="1" x14ac:dyDescent="0.3">
      <c r="A282" s="34" t="s">
        <v>495</v>
      </c>
      <c r="B282" s="33" t="s">
        <v>494</v>
      </c>
      <c r="C282" s="32" t="s">
        <v>0</v>
      </c>
      <c r="D282" s="37">
        <v>73.887272424059987</v>
      </c>
    </row>
    <row r="283" spans="1:4" ht="20.25" customHeight="1" x14ac:dyDescent="0.3">
      <c r="A283" s="34" t="s">
        <v>497</v>
      </c>
      <c r="B283" s="33" t="s">
        <v>496</v>
      </c>
      <c r="C283" s="32" t="s">
        <v>0</v>
      </c>
      <c r="D283" s="37">
        <v>77.78168588187998</v>
      </c>
    </row>
    <row r="284" spans="1:4" ht="20.25" customHeight="1" x14ac:dyDescent="0.3">
      <c r="A284" s="34" t="s">
        <v>499</v>
      </c>
      <c r="B284" s="33" t="s">
        <v>498</v>
      </c>
      <c r="C284" s="32" t="s">
        <v>0</v>
      </c>
      <c r="D284" s="37">
        <v>80.058329871289985</v>
      </c>
    </row>
    <row r="285" spans="1:4" ht="20.25" customHeight="1" x14ac:dyDescent="0.3">
      <c r="A285" s="34" t="s">
        <v>500</v>
      </c>
      <c r="B285" s="33" t="s">
        <v>498</v>
      </c>
      <c r="C285" s="32" t="s">
        <v>0</v>
      </c>
      <c r="D285" s="37">
        <v>79.720324590129991</v>
      </c>
    </row>
    <row r="286" spans="1:4" ht="20.25" customHeight="1" x14ac:dyDescent="0.3">
      <c r="A286" s="34" t="s">
        <v>502</v>
      </c>
      <c r="B286" s="33" t="s">
        <v>501</v>
      </c>
      <c r="C286" s="32" t="s">
        <v>0</v>
      </c>
      <c r="D286" s="37">
        <v>79.720324590129991</v>
      </c>
    </row>
    <row r="287" spans="1:4" ht="20.25" customHeight="1" x14ac:dyDescent="0.3">
      <c r="A287" s="34" t="s">
        <v>504</v>
      </c>
      <c r="B287" s="33" t="s">
        <v>503</v>
      </c>
      <c r="C287" s="32" t="s">
        <v>0</v>
      </c>
      <c r="D287" s="37">
        <v>80.058329871289985</v>
      </c>
    </row>
    <row r="288" spans="1:4" ht="20.25" customHeight="1" x14ac:dyDescent="0.3">
      <c r="A288" s="34" t="s">
        <v>506</v>
      </c>
      <c r="B288" s="33" t="s">
        <v>505</v>
      </c>
      <c r="C288" s="32" t="s">
        <v>0</v>
      </c>
      <c r="D288" s="37">
        <v>120.58344386611999</v>
      </c>
    </row>
    <row r="289" spans="1:4" ht="20.25" customHeight="1" x14ac:dyDescent="0.3">
      <c r="A289" s="34" t="s">
        <v>508</v>
      </c>
      <c r="B289" s="33" t="s">
        <v>507</v>
      </c>
      <c r="C289" s="32" t="s">
        <v>0</v>
      </c>
      <c r="D289" s="37">
        <v>132.5265308579709</v>
      </c>
    </row>
    <row r="290" spans="1:4" ht="20.25" customHeight="1" x14ac:dyDescent="0.3">
      <c r="A290" s="34" t="s">
        <v>509</v>
      </c>
      <c r="B290" s="33" t="s">
        <v>507</v>
      </c>
      <c r="C290" s="32" t="s">
        <v>0</v>
      </c>
      <c r="D290" s="37">
        <f>+D289</f>
        <v>132.5265308579709</v>
      </c>
    </row>
    <row r="291" spans="1:4" ht="20.25" customHeight="1" x14ac:dyDescent="0.3">
      <c r="A291" s="34" t="s">
        <v>511</v>
      </c>
      <c r="B291" s="33" t="s">
        <v>510</v>
      </c>
      <c r="C291" s="32" t="s">
        <v>0</v>
      </c>
      <c r="D291" s="37">
        <v>59.51819404880365</v>
      </c>
    </row>
    <row r="292" spans="1:4" ht="20.25" customHeight="1" x14ac:dyDescent="0.3">
      <c r="A292" s="34" t="s">
        <v>513</v>
      </c>
      <c r="B292" s="33" t="s">
        <v>512</v>
      </c>
      <c r="C292" s="32" t="s">
        <v>0</v>
      </c>
      <c r="D292" s="37">
        <v>239.93058568699999</v>
      </c>
    </row>
    <row r="293" spans="1:4" ht="20.25" customHeight="1" x14ac:dyDescent="0.3">
      <c r="A293" s="24" t="s">
        <v>515</v>
      </c>
      <c r="B293" s="20" t="s">
        <v>514</v>
      </c>
      <c r="C293" s="23" t="s">
        <v>0</v>
      </c>
      <c r="D293" s="21">
        <v>70.832288921600011</v>
      </c>
    </row>
    <row r="294" spans="1:4" ht="20.25" customHeight="1" x14ac:dyDescent="0.3">
      <c r="A294" s="24" t="s">
        <v>518</v>
      </c>
      <c r="B294" s="20" t="s">
        <v>517</v>
      </c>
      <c r="C294" s="23" t="s">
        <v>516</v>
      </c>
      <c r="D294" s="21">
        <v>24.761144130799995</v>
      </c>
    </row>
    <row r="295" spans="1:4" ht="20.25" customHeight="1" x14ac:dyDescent="0.3">
      <c r="A295" s="24" t="s">
        <v>520</v>
      </c>
      <c r="B295" s="20" t="s">
        <v>519</v>
      </c>
      <c r="C295" s="23" t="s">
        <v>516</v>
      </c>
      <c r="D295" s="21">
        <v>17.037580716799997</v>
      </c>
    </row>
    <row r="296" spans="1:4" ht="20.25" customHeight="1" x14ac:dyDescent="0.3">
      <c r="A296" s="24" t="s">
        <v>522</v>
      </c>
      <c r="B296" s="20" t="s">
        <v>521</v>
      </c>
      <c r="C296" s="23" t="s">
        <v>516</v>
      </c>
      <c r="D296" s="19">
        <v>29.599508324099997</v>
      </c>
    </row>
    <row r="297" spans="1:4" ht="20.25" customHeight="1" x14ac:dyDescent="0.3">
      <c r="A297" s="24" t="s">
        <v>524</v>
      </c>
      <c r="B297" s="20" t="s">
        <v>523</v>
      </c>
      <c r="C297" s="23" t="s">
        <v>516</v>
      </c>
      <c r="D297" s="21">
        <v>30.6983931091</v>
      </c>
    </row>
    <row r="298" spans="1:4" ht="20.25" customHeight="1" x14ac:dyDescent="0.3">
      <c r="A298" s="24" t="s">
        <v>526</v>
      </c>
      <c r="B298" s="20" t="s">
        <v>525</v>
      </c>
      <c r="C298" s="23" t="s">
        <v>516</v>
      </c>
      <c r="D298" s="21">
        <v>19.38985263456</v>
      </c>
    </row>
    <row r="299" spans="1:4" ht="20.25" customHeight="1" x14ac:dyDescent="0.3">
      <c r="A299" s="24" t="s">
        <v>528</v>
      </c>
      <c r="B299" s="20" t="s">
        <v>527</v>
      </c>
      <c r="C299" s="23" t="s">
        <v>516</v>
      </c>
      <c r="D299" s="19">
        <v>13.575928434749997</v>
      </c>
    </row>
    <row r="300" spans="1:4" ht="20.25" customHeight="1" x14ac:dyDescent="0.3">
      <c r="A300" s="24" t="s">
        <v>530</v>
      </c>
      <c r="B300" s="20" t="s">
        <v>529</v>
      </c>
      <c r="C300" s="23" t="s">
        <v>516</v>
      </c>
      <c r="D300" s="21">
        <v>12.770820039599997</v>
      </c>
    </row>
    <row r="301" spans="1:4" ht="20.25" customHeight="1" x14ac:dyDescent="0.3">
      <c r="A301" s="24" t="s">
        <v>532</v>
      </c>
      <c r="B301" s="20" t="s">
        <v>531</v>
      </c>
      <c r="C301" s="23" t="s">
        <v>516</v>
      </c>
      <c r="D301" s="21">
        <v>19.332264051739998</v>
      </c>
    </row>
    <row r="302" spans="1:4" ht="20.25" customHeight="1" x14ac:dyDescent="0.3">
      <c r="A302" s="24" t="s">
        <v>534</v>
      </c>
      <c r="B302" s="20" t="s">
        <v>533</v>
      </c>
      <c r="C302" s="23" t="s">
        <v>516</v>
      </c>
      <c r="D302" s="21">
        <v>22.688516225400001</v>
      </c>
    </row>
    <row r="303" spans="1:4" ht="20.25" customHeight="1" x14ac:dyDescent="0.3">
      <c r="A303" s="24" t="s">
        <v>536</v>
      </c>
      <c r="B303" s="20" t="s">
        <v>535</v>
      </c>
      <c r="C303" s="23" t="s">
        <v>516</v>
      </c>
      <c r="D303" s="21">
        <v>15.804966212199998</v>
      </c>
    </row>
    <row r="304" spans="1:4" ht="20.25" customHeight="1" x14ac:dyDescent="0.3">
      <c r="A304" s="24" t="s">
        <v>538</v>
      </c>
      <c r="B304" s="20" t="s">
        <v>537</v>
      </c>
      <c r="C304" s="23" t="s">
        <v>516</v>
      </c>
      <c r="D304" s="21">
        <v>18.159306893839997</v>
      </c>
    </row>
    <row r="305" spans="1:4" ht="20.25" customHeight="1" x14ac:dyDescent="0.3">
      <c r="A305" s="24" t="s">
        <v>540</v>
      </c>
      <c r="B305" s="20" t="s">
        <v>539</v>
      </c>
      <c r="C305" s="23" t="s">
        <v>516</v>
      </c>
      <c r="D305" s="21">
        <v>12.199702621679998</v>
      </c>
    </row>
    <row r="306" spans="1:4" ht="20.25" customHeight="1" x14ac:dyDescent="0.3">
      <c r="A306" s="24" t="s">
        <v>542</v>
      </c>
      <c r="B306" s="20" t="s">
        <v>541</v>
      </c>
      <c r="C306" s="23" t="s">
        <v>516</v>
      </c>
      <c r="D306" s="21">
        <v>18.929287218799999</v>
      </c>
    </row>
    <row r="307" spans="1:4" ht="20.25" customHeight="1" x14ac:dyDescent="0.3">
      <c r="A307" s="24" t="s">
        <v>544</v>
      </c>
      <c r="B307" s="20" t="s">
        <v>543</v>
      </c>
      <c r="C307" s="23" t="s">
        <v>516</v>
      </c>
      <c r="D307" s="21">
        <v>15.816136511</v>
      </c>
    </row>
    <row r="308" spans="1:4" ht="20.25" customHeight="1" x14ac:dyDescent="0.3">
      <c r="A308" s="24" t="s">
        <v>546</v>
      </c>
      <c r="B308" s="20" t="s">
        <v>545</v>
      </c>
      <c r="C308" s="23" t="s">
        <v>516</v>
      </c>
      <c r="D308" s="21">
        <v>21.937474697399999</v>
      </c>
    </row>
    <row r="309" spans="1:4" ht="20.25" customHeight="1" x14ac:dyDescent="0.3">
      <c r="A309" s="24" t="s">
        <v>548</v>
      </c>
      <c r="B309" s="20" t="s">
        <v>547</v>
      </c>
      <c r="C309" s="23" t="s">
        <v>516</v>
      </c>
      <c r="D309" s="21">
        <v>21.646680333599996</v>
      </c>
    </row>
    <row r="310" spans="1:4" ht="20.25" customHeight="1" x14ac:dyDescent="0.3">
      <c r="A310" s="24" t="s">
        <v>550</v>
      </c>
      <c r="B310" s="20" t="s">
        <v>549</v>
      </c>
      <c r="C310" s="23" t="s">
        <v>516</v>
      </c>
      <c r="D310" s="21">
        <v>23.742647666399993</v>
      </c>
    </row>
    <row r="311" spans="1:4" ht="20.25" customHeight="1" x14ac:dyDescent="0.3">
      <c r="A311" s="24" t="s">
        <v>552</v>
      </c>
      <c r="B311" s="20" t="s">
        <v>551</v>
      </c>
      <c r="C311" s="23" t="s">
        <v>516</v>
      </c>
      <c r="D311" s="21">
        <v>32.941314969599993</v>
      </c>
    </row>
    <row r="312" spans="1:4" ht="20.25" customHeight="1" x14ac:dyDescent="0.3">
      <c r="A312" s="24" t="s">
        <v>555</v>
      </c>
      <c r="B312" s="20" t="s">
        <v>554</v>
      </c>
      <c r="C312" s="23" t="s">
        <v>553</v>
      </c>
      <c r="D312" s="38">
        <v>14.409299895599998</v>
      </c>
    </row>
    <row r="313" spans="1:4" ht="20.25" customHeight="1" x14ac:dyDescent="0.3">
      <c r="A313" s="5">
        <v>4508710</v>
      </c>
      <c r="B313" s="4" t="s">
        <v>557</v>
      </c>
      <c r="C313" s="4" t="s">
        <v>556</v>
      </c>
      <c r="D313" s="7">
        <v>109.73809216951555</v>
      </c>
    </row>
    <row r="314" spans="1:4" ht="20.25" customHeight="1" x14ac:dyDescent="0.3">
      <c r="A314" s="5">
        <v>3172456</v>
      </c>
      <c r="B314" s="4" t="s">
        <v>559</v>
      </c>
      <c r="C314" s="4" t="s">
        <v>558</v>
      </c>
      <c r="D314" s="7">
        <v>84.658604083199975</v>
      </c>
    </row>
    <row r="315" spans="1:4" ht="20.25" customHeight="1" x14ac:dyDescent="0.3">
      <c r="A315" s="5">
        <v>257650</v>
      </c>
      <c r="B315" s="4" t="s">
        <v>560</v>
      </c>
      <c r="C315" s="4" t="s">
        <v>558</v>
      </c>
      <c r="D315" s="7">
        <v>159.60474344819994</v>
      </c>
    </row>
    <row r="316" spans="1:4" ht="20.25" customHeight="1" x14ac:dyDescent="0.3">
      <c r="A316" s="5">
        <v>257654</v>
      </c>
      <c r="B316" s="4" t="s">
        <v>561</v>
      </c>
      <c r="C316" s="4" t="s">
        <v>558</v>
      </c>
      <c r="D316" s="7">
        <v>154.55492665080001</v>
      </c>
    </row>
    <row r="317" spans="1:4" ht="17.399999999999999" x14ac:dyDescent="0.3">
      <c r="A317" s="12">
        <v>257658</v>
      </c>
      <c r="B317" s="11" t="s">
        <v>562</v>
      </c>
      <c r="C317" s="11" t="s">
        <v>558</v>
      </c>
      <c r="D317" s="21">
        <v>199.52575815120002</v>
      </c>
    </row>
    <row r="318" spans="1:4" ht="20.25" customHeight="1" x14ac:dyDescent="0.3">
      <c r="A318" s="5">
        <v>257655</v>
      </c>
      <c r="B318" s="4" t="s">
        <v>563</v>
      </c>
      <c r="C318" s="4" t="s">
        <v>558</v>
      </c>
      <c r="D318" s="7">
        <v>92.656913921249981</v>
      </c>
    </row>
    <row r="319" spans="1:4" ht="20.25" customHeight="1" x14ac:dyDescent="0.3">
      <c r="A319" s="5">
        <v>257862</v>
      </c>
      <c r="B319" s="4" t="s">
        <v>564</v>
      </c>
      <c r="C319" s="4" t="s">
        <v>558</v>
      </c>
      <c r="D319" s="7">
        <v>73.642100269499991</v>
      </c>
    </row>
    <row r="320" spans="1:4" ht="20.25" customHeight="1" x14ac:dyDescent="0.3">
      <c r="A320" s="5">
        <v>257863</v>
      </c>
      <c r="B320" s="4" t="s">
        <v>565</v>
      </c>
      <c r="C320" s="4" t="s">
        <v>558</v>
      </c>
      <c r="D320" s="7">
        <v>73.038313354289997</v>
      </c>
    </row>
    <row r="321" spans="1:4" ht="20.25" customHeight="1" x14ac:dyDescent="0.3">
      <c r="A321" s="15">
        <v>3196972</v>
      </c>
      <c r="B321" s="11" t="s">
        <v>566</v>
      </c>
      <c r="C321" s="11" t="s">
        <v>558</v>
      </c>
      <c r="D321" s="7">
        <v>41.372069575039994</v>
      </c>
    </row>
    <row r="322" spans="1:4" ht="20.25" customHeight="1" x14ac:dyDescent="0.3">
      <c r="A322" s="15" t="s">
        <v>569</v>
      </c>
      <c r="B322" s="11" t="s">
        <v>568</v>
      </c>
      <c r="C322" s="23" t="s">
        <v>567</v>
      </c>
      <c r="D322" s="7">
        <v>26.911714947839993</v>
      </c>
    </row>
    <row r="323" spans="1:4" ht="20.25" customHeight="1" x14ac:dyDescent="0.3">
      <c r="A323" s="15" t="s">
        <v>571</v>
      </c>
      <c r="B323" s="11" t="s">
        <v>570</v>
      </c>
      <c r="C323" s="23" t="s">
        <v>567</v>
      </c>
      <c r="D323" s="7">
        <v>38.44036218424759</v>
      </c>
    </row>
    <row r="324" spans="1:4" ht="17.399999999999999" x14ac:dyDescent="0.3">
      <c r="A324" s="15" t="s">
        <v>573</v>
      </c>
      <c r="B324" s="11" t="s">
        <v>572</v>
      </c>
      <c r="C324" s="23" t="s">
        <v>567</v>
      </c>
      <c r="D324" s="10">
        <v>27.772418454399997</v>
      </c>
    </row>
    <row r="325" spans="1:4" ht="20.25" customHeight="1" x14ac:dyDescent="0.3">
      <c r="A325" s="15" t="s">
        <v>575</v>
      </c>
      <c r="B325" s="11" t="s">
        <v>574</v>
      </c>
      <c r="C325" s="23" t="s">
        <v>567</v>
      </c>
      <c r="D325" s="10">
        <v>40.36508360388234</v>
      </c>
    </row>
    <row r="326" spans="1:4" ht="20.25" customHeight="1" x14ac:dyDescent="0.3">
      <c r="A326" s="5" t="s">
        <v>578</v>
      </c>
      <c r="B326" s="4" t="s">
        <v>577</v>
      </c>
      <c r="C326" s="4" t="s">
        <v>576</v>
      </c>
      <c r="D326" s="7">
        <v>17.344797636990002</v>
      </c>
    </row>
    <row r="327" spans="1:4" ht="20.25" customHeight="1" x14ac:dyDescent="0.3">
      <c r="A327" s="12" t="s">
        <v>580</v>
      </c>
      <c r="B327" s="11" t="s">
        <v>579</v>
      </c>
      <c r="C327" s="4" t="s">
        <v>576</v>
      </c>
      <c r="D327" s="16">
        <v>15.379691928399998</v>
      </c>
    </row>
    <row r="328" spans="1:4" ht="20.25" customHeight="1" x14ac:dyDescent="0.3">
      <c r="A328" s="12" t="s">
        <v>582</v>
      </c>
      <c r="B328" s="11" t="s">
        <v>581</v>
      </c>
      <c r="C328" s="4" t="s">
        <v>576</v>
      </c>
      <c r="D328" s="16">
        <v>15.379691928399998</v>
      </c>
    </row>
    <row r="329" spans="1:4" ht="20.25" customHeight="1" x14ac:dyDescent="0.3">
      <c r="A329" s="12" t="s">
        <v>583</v>
      </c>
      <c r="B329" s="11" t="str">
        <f>CONCATENATE(C329,A329)</f>
        <v>TKML48220-0B031</v>
      </c>
      <c r="C329" s="4" t="s">
        <v>576</v>
      </c>
      <c r="D329" s="16">
        <v>17.344797636990002</v>
      </c>
    </row>
    <row r="330" spans="1:4" ht="20.25" customHeight="1" x14ac:dyDescent="0.3">
      <c r="A330" s="12" t="s">
        <v>584</v>
      </c>
      <c r="B330" s="11" t="str">
        <f>CONCATENATE(C330,A330)</f>
        <v>TKML48210-0B241</v>
      </c>
      <c r="C330" s="4" t="s">
        <v>576</v>
      </c>
      <c r="D330" s="16">
        <v>17.344797636990002</v>
      </c>
    </row>
    <row r="331" spans="1:4" ht="20.25" customHeight="1" x14ac:dyDescent="0.3">
      <c r="A331" s="39">
        <v>269832400112</v>
      </c>
      <c r="B331" s="4" t="s">
        <v>586</v>
      </c>
      <c r="C331" s="4" t="s">
        <v>585</v>
      </c>
      <c r="D331" s="7">
        <v>20.180759337229997</v>
      </c>
    </row>
    <row r="332" spans="1:4" ht="20.25" customHeight="1" x14ac:dyDescent="0.3">
      <c r="A332" s="15">
        <v>265432400142</v>
      </c>
      <c r="B332" s="11" t="s">
        <v>587</v>
      </c>
      <c r="C332" s="4" t="s">
        <v>585</v>
      </c>
      <c r="D332" s="16">
        <v>21.633328504100003</v>
      </c>
    </row>
    <row r="333" spans="1:4" ht="20.25" customHeight="1" x14ac:dyDescent="0.3">
      <c r="A333" s="15">
        <v>265432400145</v>
      </c>
      <c r="B333" s="17" t="s">
        <v>588</v>
      </c>
      <c r="C333" s="4" t="s">
        <v>585</v>
      </c>
      <c r="D333" s="16">
        <v>22.307185076660001</v>
      </c>
    </row>
    <row r="334" spans="1:4" ht="20.25" customHeight="1" x14ac:dyDescent="0.3">
      <c r="A334" s="15">
        <v>551132400104</v>
      </c>
      <c r="B334" s="17" t="s">
        <v>589</v>
      </c>
      <c r="C334" s="4" t="s">
        <v>585</v>
      </c>
      <c r="D334" s="21">
        <f>18.233+0.001</f>
        <v>18.234000000000002</v>
      </c>
    </row>
    <row r="335" spans="1:4" ht="20.25" customHeight="1" x14ac:dyDescent="0.3">
      <c r="A335" s="15">
        <v>265432400150</v>
      </c>
      <c r="B335" s="17" t="s">
        <v>590</v>
      </c>
      <c r="C335" s="4" t="s">
        <v>585</v>
      </c>
      <c r="D335" s="21">
        <v>21.26148424977</v>
      </c>
    </row>
    <row r="336" spans="1:4" ht="20.25" customHeight="1" x14ac:dyDescent="0.3">
      <c r="A336" s="15">
        <v>282632400102</v>
      </c>
      <c r="B336" s="17" t="s">
        <v>591</v>
      </c>
      <c r="C336" s="4" t="s">
        <v>585</v>
      </c>
      <c r="D336" s="21">
        <v>28.104898014880007</v>
      </c>
    </row>
    <row r="337" spans="1:4" ht="20.25" customHeight="1" x14ac:dyDescent="0.3">
      <c r="A337" s="15">
        <v>269832400153</v>
      </c>
      <c r="B337" s="11" t="s">
        <v>592</v>
      </c>
      <c r="C337" s="4" t="s">
        <v>585</v>
      </c>
      <c r="D337" s="21">
        <v>18.754128747950002</v>
      </c>
    </row>
    <row r="338" spans="1:4" ht="20.25" customHeight="1" x14ac:dyDescent="0.3">
      <c r="A338" s="15">
        <v>265432400152</v>
      </c>
      <c r="B338" s="11" t="s">
        <v>593</v>
      </c>
      <c r="C338" s="4" t="s">
        <v>585</v>
      </c>
      <c r="D338" s="21">
        <v>20.560545632660002</v>
      </c>
    </row>
    <row r="339" spans="1:4" ht="20.25" customHeight="1" x14ac:dyDescent="0.3">
      <c r="A339" s="15">
        <v>265432400154</v>
      </c>
      <c r="B339" s="17" t="s">
        <v>594</v>
      </c>
      <c r="C339" s="4" t="s">
        <v>585</v>
      </c>
      <c r="D339" s="21">
        <v>21.26148424977</v>
      </c>
    </row>
    <row r="340" spans="1:4" ht="20.25" customHeight="1" x14ac:dyDescent="0.3">
      <c r="A340" s="15">
        <v>282932100138</v>
      </c>
      <c r="B340" s="17" t="s">
        <v>595</v>
      </c>
      <c r="C340" s="4" t="s">
        <v>585</v>
      </c>
      <c r="D340" s="22">
        <v>7.6297855199999987</v>
      </c>
    </row>
    <row r="341" spans="1:4" ht="20.25" customHeight="1" x14ac:dyDescent="0.3">
      <c r="A341" s="15">
        <v>278232400106</v>
      </c>
      <c r="B341" s="11" t="s">
        <v>597</v>
      </c>
      <c r="C341" s="11" t="s">
        <v>596</v>
      </c>
      <c r="D341" s="16">
        <v>119.01867870927001</v>
      </c>
    </row>
    <row r="342" spans="1:4" ht="20.25" customHeight="1" x14ac:dyDescent="0.3">
      <c r="A342" s="15">
        <v>263232100107</v>
      </c>
      <c r="B342" s="11" t="s">
        <v>598</v>
      </c>
      <c r="C342" s="11" t="s">
        <v>596</v>
      </c>
      <c r="D342" s="16">
        <v>92.744470109859989</v>
      </c>
    </row>
    <row r="343" spans="1:4" ht="20.25" customHeight="1" x14ac:dyDescent="0.3">
      <c r="A343" s="15">
        <v>263232400112</v>
      </c>
      <c r="B343" s="11" t="s">
        <v>599</v>
      </c>
      <c r="C343" s="11" t="s">
        <v>596</v>
      </c>
      <c r="D343" s="16">
        <v>167.64310679655003</v>
      </c>
    </row>
    <row r="344" spans="1:4" ht="20.25" customHeight="1" x14ac:dyDescent="0.3">
      <c r="A344" s="15">
        <v>200132100105</v>
      </c>
      <c r="B344" s="11" t="s">
        <v>600</v>
      </c>
      <c r="C344" s="11" t="s">
        <v>596</v>
      </c>
      <c r="D344" s="16">
        <v>55.603598090119974</v>
      </c>
    </row>
    <row r="345" spans="1:4" ht="20.25" customHeight="1" x14ac:dyDescent="0.3">
      <c r="A345" s="12" t="s">
        <v>602</v>
      </c>
      <c r="B345" s="11" t="s">
        <v>601</v>
      </c>
      <c r="C345" s="11" t="s">
        <v>596</v>
      </c>
      <c r="D345" s="16">
        <v>77.559320690280003</v>
      </c>
    </row>
    <row r="346" spans="1:4" ht="20.25" customHeight="1" x14ac:dyDescent="0.3">
      <c r="A346" s="15">
        <v>261732400104</v>
      </c>
      <c r="B346" s="11" t="s">
        <v>603</v>
      </c>
      <c r="C346" s="11" t="s">
        <v>596</v>
      </c>
      <c r="D346" s="16">
        <v>101.35989469988</v>
      </c>
    </row>
    <row r="347" spans="1:4" ht="20.25" customHeight="1" x14ac:dyDescent="0.3">
      <c r="A347" s="15">
        <v>257532100401</v>
      </c>
      <c r="B347" s="11" t="s">
        <v>604</v>
      </c>
      <c r="C347" s="11" t="s">
        <v>596</v>
      </c>
      <c r="D347" s="16">
        <v>70.880682655960015</v>
      </c>
    </row>
    <row r="348" spans="1:4" ht="20.25" customHeight="1" x14ac:dyDescent="0.3">
      <c r="A348" s="15">
        <v>263232400102</v>
      </c>
      <c r="B348" s="11" t="s">
        <v>605</v>
      </c>
      <c r="C348" s="11" t="s">
        <v>596</v>
      </c>
      <c r="D348" s="16">
        <v>127.15930114236998</v>
      </c>
    </row>
    <row r="349" spans="1:4" ht="20.25" customHeight="1" x14ac:dyDescent="0.3">
      <c r="A349" s="15">
        <v>264132100109</v>
      </c>
      <c r="B349" s="11" t="s">
        <v>606</v>
      </c>
      <c r="C349" s="11" t="s">
        <v>596</v>
      </c>
      <c r="D349" s="16">
        <v>41.412311755379996</v>
      </c>
    </row>
    <row r="350" spans="1:4" ht="20.25" customHeight="1" x14ac:dyDescent="0.3">
      <c r="A350" s="15" t="s">
        <v>608</v>
      </c>
      <c r="B350" s="11" t="s">
        <v>607</v>
      </c>
      <c r="C350" s="11" t="s">
        <v>596</v>
      </c>
      <c r="D350" s="16">
        <v>41.412311755379989</v>
      </c>
    </row>
    <row r="351" spans="1:4" ht="20.25" customHeight="1" x14ac:dyDescent="0.3">
      <c r="A351" s="15">
        <v>265132400152</v>
      </c>
      <c r="B351" s="11" t="s">
        <v>609</v>
      </c>
      <c r="C351" s="11" t="s">
        <v>596</v>
      </c>
      <c r="D351" s="16">
        <v>47.312344478199996</v>
      </c>
    </row>
    <row r="352" spans="1:4" ht="20.25" customHeight="1" x14ac:dyDescent="0.3">
      <c r="A352" s="15">
        <v>265132400128</v>
      </c>
      <c r="B352" s="11" t="s">
        <v>610</v>
      </c>
      <c r="C352" s="11" t="s">
        <v>596</v>
      </c>
      <c r="D352" s="16">
        <v>52.594246085999991</v>
      </c>
    </row>
    <row r="353" spans="1:4" ht="20.25" customHeight="1" x14ac:dyDescent="0.3">
      <c r="A353" s="15">
        <v>265132100130</v>
      </c>
      <c r="B353" s="11" t="s">
        <v>611</v>
      </c>
      <c r="C353" s="11" t="s">
        <v>596</v>
      </c>
      <c r="D353" s="16">
        <v>29.782695196639995</v>
      </c>
    </row>
    <row r="354" spans="1:4" ht="20.25" customHeight="1" x14ac:dyDescent="0.3">
      <c r="A354" s="15">
        <v>2002005</v>
      </c>
      <c r="B354" s="11" t="s">
        <v>612</v>
      </c>
      <c r="C354" s="11" t="s">
        <v>596</v>
      </c>
      <c r="D354" s="16">
        <v>79.606234158079985</v>
      </c>
    </row>
    <row r="355" spans="1:4" ht="20.25" customHeight="1" x14ac:dyDescent="0.3">
      <c r="A355" s="15">
        <v>2002007</v>
      </c>
      <c r="B355" s="11" t="s">
        <v>613</v>
      </c>
      <c r="C355" s="11" t="s">
        <v>596</v>
      </c>
      <c r="D355" s="16">
        <v>108.30455323433</v>
      </c>
    </row>
    <row r="356" spans="1:4" ht="20.25" customHeight="1" x14ac:dyDescent="0.3">
      <c r="A356" s="15">
        <v>264432400103</v>
      </c>
      <c r="B356" s="11" t="s">
        <v>614</v>
      </c>
      <c r="C356" s="11" t="s">
        <v>596</v>
      </c>
      <c r="D356" s="16">
        <v>58.424444171049984</v>
      </c>
    </row>
    <row r="357" spans="1:4" ht="20.25" customHeight="1" x14ac:dyDescent="0.3">
      <c r="A357" s="15" t="s">
        <v>616</v>
      </c>
      <c r="B357" s="17" t="s">
        <v>615</v>
      </c>
      <c r="C357" s="11" t="s">
        <v>596</v>
      </c>
      <c r="D357" s="16">
        <v>70.659559329649994</v>
      </c>
    </row>
    <row r="358" spans="1:4" ht="20.25" customHeight="1" x14ac:dyDescent="0.3">
      <c r="A358" s="15" t="s">
        <v>618</v>
      </c>
      <c r="B358" s="17" t="s">
        <v>617</v>
      </c>
      <c r="C358" s="11" t="s">
        <v>596</v>
      </c>
      <c r="D358" s="16">
        <v>27.023866133159995</v>
      </c>
    </row>
    <row r="359" spans="1:4" ht="20.25" customHeight="1" x14ac:dyDescent="0.3">
      <c r="A359" s="15">
        <v>278232400110</v>
      </c>
      <c r="B359" s="11" t="s">
        <v>619</v>
      </c>
      <c r="C359" s="11" t="s">
        <v>596</v>
      </c>
      <c r="D359" s="16">
        <v>109.26995783819997</v>
      </c>
    </row>
    <row r="360" spans="1:4" ht="20.25" customHeight="1" x14ac:dyDescent="0.3">
      <c r="A360" s="15">
        <v>263232100130</v>
      </c>
      <c r="B360" s="11" t="s">
        <v>620</v>
      </c>
      <c r="C360" s="11" t="s">
        <v>596</v>
      </c>
      <c r="D360" s="21">
        <v>80.305523229249999</v>
      </c>
    </row>
    <row r="361" spans="1:4" ht="20.25" customHeight="1" x14ac:dyDescent="0.3">
      <c r="A361" s="15">
        <v>263232400114</v>
      </c>
      <c r="B361" s="20" t="s">
        <v>621</v>
      </c>
      <c r="C361" s="40" t="s">
        <v>596</v>
      </c>
      <c r="D361" s="21">
        <v>145.92791805297</v>
      </c>
    </row>
    <row r="362" spans="1:4" ht="20.25" customHeight="1" x14ac:dyDescent="0.3">
      <c r="A362" s="15">
        <v>278232100130</v>
      </c>
      <c r="B362" s="41" t="s">
        <v>622</v>
      </c>
      <c r="C362" s="40" t="s">
        <v>596</v>
      </c>
      <c r="D362" s="16">
        <v>84.169410106800001</v>
      </c>
    </row>
    <row r="363" spans="1:4" ht="20.25" customHeight="1" x14ac:dyDescent="0.3">
      <c r="A363" s="15">
        <v>278232400114</v>
      </c>
      <c r="B363" s="17" t="s">
        <v>623</v>
      </c>
      <c r="C363" s="11" t="s">
        <v>596</v>
      </c>
      <c r="D363" s="22">
        <v>94.320984350719996</v>
      </c>
    </row>
    <row r="364" spans="1:4" ht="20.25" customHeight="1" x14ac:dyDescent="0.3">
      <c r="A364" s="15">
        <v>278232400112</v>
      </c>
      <c r="B364" s="20" t="s">
        <v>624</v>
      </c>
      <c r="C364" s="40" t="s">
        <v>596</v>
      </c>
      <c r="D364" s="22">
        <v>109.43272821933999</v>
      </c>
    </row>
    <row r="365" spans="1:4" ht="20.25" customHeight="1" x14ac:dyDescent="0.3">
      <c r="A365" s="15">
        <v>500632100101</v>
      </c>
      <c r="B365" s="20" t="s">
        <v>625</v>
      </c>
      <c r="C365" s="40" t="s">
        <v>596</v>
      </c>
      <c r="D365" s="16">
        <v>66.112291366679997</v>
      </c>
    </row>
    <row r="366" spans="1:4" ht="20.25" customHeight="1" x14ac:dyDescent="0.3">
      <c r="A366" s="15">
        <v>500632100103</v>
      </c>
      <c r="B366" s="20" t="s">
        <v>626</v>
      </c>
      <c r="C366" s="40" t="s">
        <v>596</v>
      </c>
      <c r="D366" s="16">
        <v>69.127577003680003</v>
      </c>
    </row>
    <row r="367" spans="1:4" ht="20.25" customHeight="1" x14ac:dyDescent="0.3">
      <c r="A367" s="15">
        <v>288532100106</v>
      </c>
      <c r="B367" s="20" t="s">
        <v>627</v>
      </c>
      <c r="C367" s="40" t="s">
        <v>596</v>
      </c>
      <c r="D367" s="21">
        <v>79.95539338367999</v>
      </c>
    </row>
    <row r="368" spans="1:4" ht="20.25" customHeight="1" x14ac:dyDescent="0.3">
      <c r="A368" s="15">
        <v>500632100121</v>
      </c>
      <c r="B368" s="20" t="s">
        <v>628</v>
      </c>
      <c r="C368" s="40" t="s">
        <v>596</v>
      </c>
      <c r="D368" s="21">
        <v>68.552412974159992</v>
      </c>
    </row>
    <row r="369" spans="1:4" ht="20.25" customHeight="1" x14ac:dyDescent="0.3">
      <c r="A369" s="15" t="s">
        <v>630</v>
      </c>
      <c r="B369" s="23" t="s">
        <v>629</v>
      </c>
      <c r="C369" s="40" t="s">
        <v>596</v>
      </c>
      <c r="D369" s="16">
        <v>69.110346800040006</v>
      </c>
    </row>
    <row r="370" spans="1:4" ht="20.25" customHeight="1" x14ac:dyDescent="0.3">
      <c r="A370" s="15">
        <v>278232100143</v>
      </c>
      <c r="B370" s="23" t="s">
        <v>632</v>
      </c>
      <c r="C370" s="40" t="s">
        <v>631</v>
      </c>
      <c r="D370" s="21">
        <v>57.295350907799993</v>
      </c>
    </row>
    <row r="371" spans="1:4" ht="20.25" customHeight="1" x14ac:dyDescent="0.3">
      <c r="A371" s="43">
        <v>284132100106</v>
      </c>
      <c r="B371" s="23" t="s">
        <v>633</v>
      </c>
      <c r="C371" s="42" t="s">
        <v>631</v>
      </c>
      <c r="D371" s="21">
        <v>59.022923077199991</v>
      </c>
    </row>
    <row r="372" spans="1:4" ht="20.25" customHeight="1" x14ac:dyDescent="0.3">
      <c r="A372" s="43">
        <v>278232100152</v>
      </c>
      <c r="B372" s="23" t="s">
        <v>634</v>
      </c>
      <c r="C372" s="42" t="s">
        <v>631</v>
      </c>
      <c r="D372" s="21">
        <v>73.360316686239983</v>
      </c>
    </row>
    <row r="373" spans="1:4" ht="20.25" customHeight="1" x14ac:dyDescent="0.3">
      <c r="A373" s="15">
        <v>284632100115</v>
      </c>
      <c r="B373" s="23" t="s">
        <v>635</v>
      </c>
      <c r="C373" s="42" t="s">
        <v>631</v>
      </c>
      <c r="D373" s="21">
        <v>75.368065139839999</v>
      </c>
    </row>
    <row r="374" spans="1:4" ht="20.25" customHeight="1" x14ac:dyDescent="0.3">
      <c r="A374" s="15">
        <v>284632100104</v>
      </c>
      <c r="B374" s="23" t="s">
        <v>636</v>
      </c>
      <c r="C374" s="42" t="s">
        <v>631</v>
      </c>
      <c r="D374" s="21">
        <f>61.08+0.07</f>
        <v>61.15</v>
      </c>
    </row>
    <row r="375" spans="1:4" ht="20.25" customHeight="1" x14ac:dyDescent="0.3">
      <c r="A375" s="15">
        <v>553032100117</v>
      </c>
      <c r="B375" s="23" t="s">
        <v>637</v>
      </c>
      <c r="C375" s="42" t="s">
        <v>631</v>
      </c>
      <c r="D375" s="21">
        <v>61.035045149519995</v>
      </c>
    </row>
    <row r="376" spans="1:4" ht="20.25" customHeight="1" x14ac:dyDescent="0.3">
      <c r="A376" s="15">
        <v>550632400157</v>
      </c>
      <c r="B376" s="23" t="s">
        <v>638</v>
      </c>
      <c r="C376" s="42" t="s">
        <v>631</v>
      </c>
      <c r="D376" s="21">
        <v>40.669295615219994</v>
      </c>
    </row>
    <row r="377" spans="1:4" ht="20.25" customHeight="1" x14ac:dyDescent="0.3">
      <c r="A377" s="15">
        <v>503932100195</v>
      </c>
      <c r="B377" s="23" t="s">
        <v>639</v>
      </c>
      <c r="C377" s="42" t="s">
        <v>631</v>
      </c>
      <c r="D377" s="21">
        <v>98.872852073000018</v>
      </c>
    </row>
    <row r="378" spans="1:4" ht="20.25" customHeight="1" x14ac:dyDescent="0.3">
      <c r="A378" s="15">
        <v>503932100196</v>
      </c>
      <c r="B378" s="23" t="s">
        <v>640</v>
      </c>
      <c r="C378" s="42" t="s">
        <v>631</v>
      </c>
      <c r="D378" s="21">
        <v>93.328271708499983</v>
      </c>
    </row>
    <row r="379" spans="1:4" ht="20.25" customHeight="1" x14ac:dyDescent="0.3">
      <c r="A379" s="15">
        <v>506632100166</v>
      </c>
      <c r="B379" s="23" t="s">
        <v>641</v>
      </c>
      <c r="C379" s="42" t="s">
        <v>631</v>
      </c>
      <c r="D379" s="21">
        <v>89.141131634499985</v>
      </c>
    </row>
    <row r="380" spans="1:4" ht="20.25" customHeight="1" x14ac:dyDescent="0.3">
      <c r="A380" s="15">
        <v>506632100167</v>
      </c>
      <c r="B380" s="23" t="s">
        <v>642</v>
      </c>
      <c r="C380" s="42" t="s">
        <v>631</v>
      </c>
      <c r="D380" s="21">
        <v>95.366706367750012</v>
      </c>
    </row>
    <row r="381" spans="1:4" ht="20.25" customHeight="1" x14ac:dyDescent="0.3">
      <c r="A381" s="15">
        <v>508132100106</v>
      </c>
      <c r="B381" s="23" t="s">
        <v>643</v>
      </c>
      <c r="C381" s="42" t="s">
        <v>631</v>
      </c>
      <c r="D381" s="21">
        <v>80.84394522179997</v>
      </c>
    </row>
    <row r="382" spans="1:4" ht="20.25" customHeight="1" x14ac:dyDescent="0.3">
      <c r="A382" s="15">
        <v>554732100109</v>
      </c>
      <c r="B382" s="23" t="s">
        <v>645</v>
      </c>
      <c r="C382" s="42" t="s">
        <v>644</v>
      </c>
      <c r="D382" s="21">
        <v>44.903078178659989</v>
      </c>
    </row>
    <row r="383" spans="1:4" ht="20.25" customHeight="1" x14ac:dyDescent="0.3">
      <c r="A383" s="15">
        <v>552932100131</v>
      </c>
      <c r="B383" s="23" t="s">
        <v>646</v>
      </c>
      <c r="C383" s="42" t="s">
        <v>644</v>
      </c>
      <c r="D383" s="21">
        <v>43.865237842659994</v>
      </c>
    </row>
    <row r="384" spans="1:4" ht="20.25" customHeight="1" x14ac:dyDescent="0.3">
      <c r="A384" s="15">
        <v>552932100152</v>
      </c>
      <c r="B384" s="23" t="s">
        <v>647</v>
      </c>
      <c r="C384" s="42" t="s">
        <v>644</v>
      </c>
      <c r="D384" s="21">
        <v>55.412208959269989</v>
      </c>
    </row>
    <row r="385" spans="1:4" ht="20.25" customHeight="1" x14ac:dyDescent="0.3">
      <c r="A385" s="15">
        <v>552932100140</v>
      </c>
      <c r="B385" s="23" t="s">
        <v>648</v>
      </c>
      <c r="C385" s="42" t="s">
        <v>644</v>
      </c>
      <c r="D385" s="21">
        <v>55.901522993569991</v>
      </c>
    </row>
    <row r="386" spans="1:4" ht="20.25" customHeight="1" x14ac:dyDescent="0.3">
      <c r="A386" s="15">
        <v>550732100197</v>
      </c>
      <c r="B386" s="23"/>
      <c r="C386" s="42" t="s">
        <v>644</v>
      </c>
      <c r="D386" s="44">
        <v>46.694000000000003</v>
      </c>
    </row>
    <row r="387" spans="1:4" ht="20.25" customHeight="1" x14ac:dyDescent="0.3">
      <c r="A387" s="15">
        <v>550732110107</v>
      </c>
      <c r="B387" s="23"/>
      <c r="C387" s="42" t="s">
        <v>644</v>
      </c>
      <c r="D387" s="44">
        <v>47.386000000000003</v>
      </c>
    </row>
    <row r="388" spans="1:4" ht="20.25" customHeight="1" x14ac:dyDescent="0.3">
      <c r="A388" s="15">
        <v>275432100106</v>
      </c>
      <c r="B388" s="23" t="s">
        <v>649</v>
      </c>
      <c r="C388" s="42" t="s">
        <v>631</v>
      </c>
      <c r="D388" s="21">
        <v>98.419293374000006</v>
      </c>
    </row>
    <row r="389" spans="1:4" ht="20.25" customHeight="1" x14ac:dyDescent="0.3">
      <c r="A389" s="15">
        <v>503232100102</v>
      </c>
      <c r="B389" s="23" t="s">
        <v>650</v>
      </c>
      <c r="C389" s="40" t="s">
        <v>631</v>
      </c>
      <c r="D389" s="21">
        <v>74.57455052025</v>
      </c>
    </row>
    <row r="390" spans="1:4" ht="20.25" customHeight="1" x14ac:dyDescent="0.3">
      <c r="A390" s="15">
        <v>288032400167</v>
      </c>
      <c r="B390" s="23" t="s">
        <v>651</v>
      </c>
      <c r="C390" s="40" t="s">
        <v>596</v>
      </c>
      <c r="D390" s="21">
        <v>196.857201425</v>
      </c>
    </row>
    <row r="391" spans="1:4" ht="20.25" customHeight="1" x14ac:dyDescent="0.3">
      <c r="A391" s="15">
        <v>278232100135</v>
      </c>
      <c r="B391" s="23" t="s">
        <v>652</v>
      </c>
      <c r="C391" s="40" t="s">
        <v>596</v>
      </c>
      <c r="D391" s="22">
        <v>89.601593276399996</v>
      </c>
    </row>
    <row r="392" spans="1:4" ht="20.25" customHeight="1" x14ac:dyDescent="0.3">
      <c r="A392" s="15">
        <v>277032100101</v>
      </c>
      <c r="B392" s="23" t="s">
        <v>653</v>
      </c>
      <c r="C392" s="40" t="s">
        <v>596</v>
      </c>
      <c r="D392" s="16">
        <v>49.818531435450005</v>
      </c>
    </row>
    <row r="393" spans="1:4" ht="20.25" customHeight="1" x14ac:dyDescent="0.3">
      <c r="A393" s="15">
        <v>277032400101</v>
      </c>
      <c r="B393" s="23" t="s">
        <v>654</v>
      </c>
      <c r="C393" s="40" t="s">
        <v>596</v>
      </c>
      <c r="D393" s="22">
        <v>77.013724256639989</v>
      </c>
    </row>
    <row r="394" spans="1:4" ht="20.25" customHeight="1" x14ac:dyDescent="0.3">
      <c r="A394" s="15">
        <v>217132400101</v>
      </c>
      <c r="B394" s="23" t="s">
        <v>655</v>
      </c>
      <c r="C394" s="40" t="s">
        <v>596</v>
      </c>
      <c r="D394" s="22">
        <v>120.01444892805998</v>
      </c>
    </row>
    <row r="395" spans="1:4" ht="20.25" customHeight="1" x14ac:dyDescent="0.3">
      <c r="A395" s="15">
        <v>217132400104</v>
      </c>
      <c r="B395" s="23" t="s">
        <v>656</v>
      </c>
      <c r="C395" s="40" t="s">
        <v>596</v>
      </c>
      <c r="D395" s="21">
        <v>112.40804355667001</v>
      </c>
    </row>
    <row r="396" spans="1:4" ht="20.25" customHeight="1" x14ac:dyDescent="0.3">
      <c r="A396" s="15">
        <v>263232400118</v>
      </c>
      <c r="B396" s="23" t="s">
        <v>657</v>
      </c>
      <c r="C396" s="40" t="s">
        <v>596</v>
      </c>
      <c r="D396" s="16">
        <v>135.27902897142002</v>
      </c>
    </row>
    <row r="397" spans="1:4" ht="20.25" customHeight="1" x14ac:dyDescent="0.3">
      <c r="A397" s="15">
        <v>553032400119</v>
      </c>
      <c r="B397" s="23" t="s">
        <v>658</v>
      </c>
      <c r="C397" s="40" t="s">
        <v>596</v>
      </c>
      <c r="D397" s="16">
        <v>119.61970093925999</v>
      </c>
    </row>
    <row r="398" spans="1:4" ht="20.25" customHeight="1" x14ac:dyDescent="0.3">
      <c r="A398" s="15">
        <v>554732400108</v>
      </c>
      <c r="B398" s="23" t="s">
        <v>659</v>
      </c>
      <c r="C398" s="40" t="s">
        <v>596</v>
      </c>
      <c r="D398" s="16">
        <v>72.24370000879</v>
      </c>
    </row>
    <row r="399" spans="1:4" ht="20.25" customHeight="1" x14ac:dyDescent="0.3">
      <c r="A399" s="15">
        <v>555432400116</v>
      </c>
      <c r="B399" s="23" t="s">
        <v>660</v>
      </c>
      <c r="C399" s="40" t="s">
        <v>596</v>
      </c>
      <c r="D399" s="16">
        <v>50.954628317039997</v>
      </c>
    </row>
    <row r="400" spans="1:4" ht="20.25" customHeight="1" x14ac:dyDescent="0.3">
      <c r="A400" s="15">
        <v>263232400116</v>
      </c>
      <c r="B400" s="23" t="s">
        <v>661</v>
      </c>
      <c r="C400" s="40" t="s">
        <v>596</v>
      </c>
      <c r="D400" s="21">
        <v>151.49549033136</v>
      </c>
    </row>
    <row r="401" spans="1:4" ht="20.25" customHeight="1" x14ac:dyDescent="0.3">
      <c r="A401" s="5">
        <v>3081</v>
      </c>
      <c r="B401" s="4" t="s">
        <v>663</v>
      </c>
      <c r="C401" s="4" t="s">
        <v>662</v>
      </c>
      <c r="D401" s="7">
        <v>29.085597163620001</v>
      </c>
    </row>
    <row r="402" spans="1:4" ht="20.25" customHeight="1" x14ac:dyDescent="0.3">
      <c r="A402" s="5">
        <v>3083</v>
      </c>
      <c r="B402" s="4" t="s">
        <v>664</v>
      </c>
      <c r="C402" s="4" t="s">
        <v>662</v>
      </c>
      <c r="D402" s="7">
        <v>60.571997687789995</v>
      </c>
    </row>
    <row r="403" spans="1:4" ht="20.25" customHeight="1" x14ac:dyDescent="0.3">
      <c r="A403" s="12">
        <v>3084</v>
      </c>
      <c r="B403" s="11" t="s">
        <v>665</v>
      </c>
      <c r="C403" s="11" t="s">
        <v>662</v>
      </c>
      <c r="D403" s="16">
        <v>26.777254800419996</v>
      </c>
    </row>
    <row r="404" spans="1:4" ht="20.25" customHeight="1" x14ac:dyDescent="0.3">
      <c r="A404" s="12">
        <v>3090</v>
      </c>
      <c r="B404" s="11" t="s">
        <v>666</v>
      </c>
      <c r="C404" s="11" t="s">
        <v>662</v>
      </c>
      <c r="D404" s="16">
        <v>42.906313675980009</v>
      </c>
    </row>
    <row r="405" spans="1:4" ht="20.25" customHeight="1" x14ac:dyDescent="0.3">
      <c r="A405" s="5">
        <v>7505</v>
      </c>
      <c r="B405" s="4" t="s">
        <v>667</v>
      </c>
      <c r="C405" s="4" t="s">
        <v>662</v>
      </c>
      <c r="D405" s="7">
        <v>61.335158615700003</v>
      </c>
    </row>
    <row r="406" spans="1:4" ht="20.25" customHeight="1" x14ac:dyDescent="0.3">
      <c r="A406" s="5">
        <v>7533</v>
      </c>
      <c r="B406" s="4" t="s">
        <v>668</v>
      </c>
      <c r="C406" s="4" t="s">
        <v>662</v>
      </c>
      <c r="D406" s="7">
        <v>31.669128718619994</v>
      </c>
    </row>
    <row r="407" spans="1:4" ht="20.25" customHeight="1" x14ac:dyDescent="0.3">
      <c r="A407" s="5">
        <v>204101</v>
      </c>
      <c r="B407" s="45" t="s">
        <v>669</v>
      </c>
      <c r="C407" s="4" t="s">
        <v>662</v>
      </c>
      <c r="D407" s="7">
        <v>50.639672435100003</v>
      </c>
    </row>
    <row r="408" spans="1:4" ht="20.25" customHeight="1" x14ac:dyDescent="0.3">
      <c r="A408" s="12" t="s">
        <v>671</v>
      </c>
      <c r="B408" s="11" t="s">
        <v>670</v>
      </c>
      <c r="C408" s="11" t="s">
        <v>662</v>
      </c>
      <c r="D408" s="16">
        <v>26.617458630419996</v>
      </c>
    </row>
    <row r="409" spans="1:4" ht="20.25" customHeight="1" x14ac:dyDescent="0.3">
      <c r="A409" s="12">
        <v>205451</v>
      </c>
      <c r="B409" s="11" t="s">
        <v>672</v>
      </c>
      <c r="C409" s="11" t="s">
        <v>662</v>
      </c>
      <c r="D409" s="16">
        <v>45.124985278799997</v>
      </c>
    </row>
    <row r="410" spans="1:4" ht="20.25" customHeight="1" x14ac:dyDescent="0.3">
      <c r="A410" s="12">
        <v>206436</v>
      </c>
      <c r="B410" s="11" t="str">
        <f t="shared" ref="B410:B415" si="0">CONCATENATE(C410,A410)</f>
        <v>EICHER206436</v>
      </c>
      <c r="C410" s="11" t="s">
        <v>662</v>
      </c>
      <c r="D410" s="16">
        <v>36.89449134198</v>
      </c>
    </row>
    <row r="411" spans="1:4" ht="20.25" customHeight="1" x14ac:dyDescent="0.3">
      <c r="A411" s="15" t="s">
        <v>673</v>
      </c>
      <c r="B411" s="11" t="str">
        <f t="shared" si="0"/>
        <v>EICHER206436-CONV</v>
      </c>
      <c r="C411" s="11" t="s">
        <v>662</v>
      </c>
      <c r="D411" s="16">
        <v>49.490047146109994</v>
      </c>
    </row>
    <row r="412" spans="1:4" ht="20.25" customHeight="1" x14ac:dyDescent="0.3">
      <c r="A412" s="12">
        <v>206607</v>
      </c>
      <c r="B412" s="11" t="str">
        <f t="shared" si="0"/>
        <v>EICHER206607</v>
      </c>
      <c r="C412" s="11" t="s">
        <v>662</v>
      </c>
      <c r="D412" s="16">
        <v>25.022836650120002</v>
      </c>
    </row>
    <row r="413" spans="1:4" ht="20.25" customHeight="1" x14ac:dyDescent="0.3">
      <c r="A413" s="12">
        <v>206608</v>
      </c>
      <c r="B413" s="11" t="str">
        <f t="shared" si="0"/>
        <v>EICHER206608</v>
      </c>
      <c r="C413" s="11" t="s">
        <v>662</v>
      </c>
      <c r="D413" s="16">
        <v>25.022836650120002</v>
      </c>
    </row>
    <row r="414" spans="1:4" ht="20.25" customHeight="1" x14ac:dyDescent="0.3">
      <c r="A414" s="15" t="s">
        <v>674</v>
      </c>
      <c r="B414" s="11" t="str">
        <f t="shared" si="0"/>
        <v>EICHER206607-CON</v>
      </c>
      <c r="C414" s="11" t="s">
        <v>662</v>
      </c>
      <c r="D414" s="16">
        <v>28.925800993620001</v>
      </c>
    </row>
    <row r="415" spans="1:4" ht="20.25" customHeight="1" x14ac:dyDescent="0.3">
      <c r="A415" s="15" t="s">
        <v>675</v>
      </c>
      <c r="B415" s="11" t="str">
        <f t="shared" si="0"/>
        <v>EICHER206608-CON</v>
      </c>
      <c r="C415" s="11" t="s">
        <v>662</v>
      </c>
      <c r="D415" s="16">
        <f>+D414</f>
        <v>28.925800993620001</v>
      </c>
    </row>
    <row r="416" spans="1:4" ht="20.25" customHeight="1" x14ac:dyDescent="0.3">
      <c r="A416" s="12">
        <v>207740</v>
      </c>
      <c r="B416" s="11" t="s">
        <v>676</v>
      </c>
      <c r="C416" s="11" t="s">
        <v>662</v>
      </c>
      <c r="D416" s="16">
        <v>85.138318798379984</v>
      </c>
    </row>
    <row r="417" spans="1:4" ht="20.25" customHeight="1" x14ac:dyDescent="0.3">
      <c r="A417" s="12">
        <v>207753</v>
      </c>
      <c r="B417" s="11" t="s">
        <v>677</v>
      </c>
      <c r="C417" s="11" t="s">
        <v>662</v>
      </c>
      <c r="D417" s="16">
        <v>40.660070401980001</v>
      </c>
    </row>
    <row r="418" spans="1:4" ht="20.25" customHeight="1" x14ac:dyDescent="0.3">
      <c r="A418" s="15">
        <v>209427</v>
      </c>
      <c r="B418" s="11" t="str">
        <f>CONCATENATE(C418,A418)</f>
        <v>EICHER209427</v>
      </c>
      <c r="C418" s="11" t="s">
        <v>662</v>
      </c>
      <c r="D418" s="16">
        <v>61.810828298100006</v>
      </c>
    </row>
    <row r="419" spans="1:4" ht="20.25" customHeight="1" x14ac:dyDescent="0.3">
      <c r="A419" s="15">
        <v>209425</v>
      </c>
      <c r="B419" s="11" t="str">
        <f>CONCATENATE(C419,A419)</f>
        <v>EICHER209425</v>
      </c>
      <c r="C419" s="11" t="s">
        <v>662</v>
      </c>
      <c r="D419" s="16">
        <v>33.489068715119998</v>
      </c>
    </row>
    <row r="420" spans="1:4" ht="20.25" customHeight="1" x14ac:dyDescent="0.3">
      <c r="A420" s="15">
        <v>209426</v>
      </c>
      <c r="B420" s="11" t="str">
        <f>CONCATENATE(C420,A420)</f>
        <v>EICHER209426</v>
      </c>
      <c r="C420" s="11" t="s">
        <v>662</v>
      </c>
      <c r="D420" s="16">
        <v>33.489068715119998</v>
      </c>
    </row>
    <row r="421" spans="1:4" ht="20.25" customHeight="1" x14ac:dyDescent="0.3">
      <c r="A421" s="12">
        <v>208230</v>
      </c>
      <c r="B421" s="11" t="s">
        <v>678</v>
      </c>
      <c r="C421" s="11" t="s">
        <v>662</v>
      </c>
      <c r="D421" s="16">
        <v>107.39487140329999</v>
      </c>
    </row>
    <row r="422" spans="1:4" ht="20.25" customHeight="1" x14ac:dyDescent="0.3">
      <c r="A422" s="12" t="s">
        <v>680</v>
      </c>
      <c r="B422" s="11" t="s">
        <v>679</v>
      </c>
      <c r="C422" s="11" t="s">
        <v>662</v>
      </c>
      <c r="D422" s="16">
        <v>33.505048332119998</v>
      </c>
    </row>
    <row r="423" spans="1:4" ht="20.25" customHeight="1" x14ac:dyDescent="0.3">
      <c r="A423" s="12">
        <v>208263</v>
      </c>
      <c r="B423" s="11" t="s">
        <v>681</v>
      </c>
      <c r="C423" s="11" t="s">
        <v>662</v>
      </c>
      <c r="D423" s="16">
        <v>208.44562695819999</v>
      </c>
    </row>
    <row r="424" spans="1:4" ht="20.25" customHeight="1" x14ac:dyDescent="0.3">
      <c r="A424" s="12">
        <v>208264</v>
      </c>
      <c r="B424" s="11" t="s">
        <v>682</v>
      </c>
      <c r="C424" s="11" t="s">
        <v>662</v>
      </c>
      <c r="D424" s="16">
        <v>117.82706580814001</v>
      </c>
    </row>
    <row r="425" spans="1:4" ht="20.25" customHeight="1" x14ac:dyDescent="0.3">
      <c r="A425" s="12">
        <v>211206</v>
      </c>
      <c r="B425" s="17" t="s">
        <v>683</v>
      </c>
      <c r="C425" s="11" t="s">
        <v>662</v>
      </c>
      <c r="D425" s="16">
        <v>167.09130242505282</v>
      </c>
    </row>
    <row r="426" spans="1:4" ht="20.25" customHeight="1" x14ac:dyDescent="0.3">
      <c r="A426" s="12" t="s">
        <v>685</v>
      </c>
      <c r="B426" s="11" t="s">
        <v>684</v>
      </c>
      <c r="C426" s="11" t="s">
        <v>662</v>
      </c>
      <c r="D426" s="16">
        <v>94.696015061200001</v>
      </c>
    </row>
    <row r="427" spans="1:4" ht="20.25" customHeight="1" x14ac:dyDescent="0.3">
      <c r="A427" s="15" t="s">
        <v>687</v>
      </c>
      <c r="B427" s="23" t="s">
        <v>686</v>
      </c>
      <c r="C427" s="40" t="s">
        <v>662</v>
      </c>
      <c r="D427" s="16">
        <v>92.36257922471998</v>
      </c>
    </row>
    <row r="428" spans="1:4" ht="20.25" customHeight="1" x14ac:dyDescent="0.3">
      <c r="A428" s="15">
        <v>215373</v>
      </c>
      <c r="B428" s="20" t="s">
        <v>688</v>
      </c>
      <c r="C428" s="40" t="s">
        <v>662</v>
      </c>
      <c r="D428" s="16">
        <v>77.424874420089978</v>
      </c>
    </row>
    <row r="429" spans="1:4" ht="20.25" customHeight="1" x14ac:dyDescent="0.3">
      <c r="A429" s="15">
        <v>215374</v>
      </c>
      <c r="B429" s="20" t="s">
        <v>689</v>
      </c>
      <c r="C429" s="40" t="s">
        <v>662</v>
      </c>
      <c r="D429" s="16">
        <v>143.35706783686999</v>
      </c>
    </row>
    <row r="430" spans="1:4" ht="20.25" customHeight="1" x14ac:dyDescent="0.3">
      <c r="A430" s="48" t="s">
        <v>692</v>
      </c>
      <c r="B430" s="33" t="s">
        <v>691</v>
      </c>
      <c r="C430" s="47" t="s">
        <v>690</v>
      </c>
      <c r="D430" s="37">
        <v>50.593235565419988</v>
      </c>
    </row>
    <row r="431" spans="1:4" ht="20.25" customHeight="1" x14ac:dyDescent="0.3">
      <c r="A431" s="15">
        <v>216290</v>
      </c>
      <c r="B431" s="20" t="s">
        <v>693</v>
      </c>
      <c r="C431" s="40" t="s">
        <v>662</v>
      </c>
      <c r="D431" s="16">
        <v>114.23093577112</v>
      </c>
    </row>
    <row r="432" spans="1:4" ht="20.25" customHeight="1" x14ac:dyDescent="0.3">
      <c r="A432" s="12" t="s">
        <v>696</v>
      </c>
      <c r="B432" s="11" t="s">
        <v>695</v>
      </c>
      <c r="C432" s="11" t="s">
        <v>694</v>
      </c>
      <c r="D432" s="16">
        <v>17.898333612439998</v>
      </c>
    </row>
    <row r="433" spans="1:4" ht="20.25" customHeight="1" x14ac:dyDescent="0.3">
      <c r="A433" s="5" t="s">
        <v>699</v>
      </c>
      <c r="B433" s="4" t="s">
        <v>698</v>
      </c>
      <c r="C433" s="4" t="s">
        <v>697</v>
      </c>
      <c r="D433" s="7">
        <v>56.033183188043594</v>
      </c>
    </row>
    <row r="434" spans="1:4" ht="20.25" customHeight="1" x14ac:dyDescent="0.3">
      <c r="A434" s="5" t="s">
        <v>701</v>
      </c>
      <c r="B434" s="4" t="s">
        <v>700</v>
      </c>
      <c r="C434" s="4" t="s">
        <v>697</v>
      </c>
      <c r="D434" s="7">
        <v>56.033183188043594</v>
      </c>
    </row>
    <row r="435" spans="1:4" ht="20.25" customHeight="1" x14ac:dyDescent="0.3">
      <c r="A435" s="5" t="s">
        <v>703</v>
      </c>
      <c r="B435" s="4" t="s">
        <v>702</v>
      </c>
      <c r="C435" s="4" t="s">
        <v>697</v>
      </c>
      <c r="D435" s="7">
        <v>56.033183188043594</v>
      </c>
    </row>
    <row r="436" spans="1:4" ht="20.25" customHeight="1" x14ac:dyDescent="0.3">
      <c r="A436" s="5" t="s">
        <v>705</v>
      </c>
      <c r="B436" s="4" t="s">
        <v>704</v>
      </c>
      <c r="C436" s="4" t="s">
        <v>697</v>
      </c>
      <c r="D436" s="7">
        <v>60.381626730984998</v>
      </c>
    </row>
    <row r="437" spans="1:4" ht="20.25" customHeight="1" x14ac:dyDescent="0.3">
      <c r="A437" s="5" t="s">
        <v>707</v>
      </c>
      <c r="B437" s="4" t="s">
        <v>706</v>
      </c>
      <c r="C437" s="4" t="s">
        <v>697</v>
      </c>
      <c r="D437" s="7">
        <v>63.521575960670397</v>
      </c>
    </row>
    <row r="438" spans="1:4" ht="20.25" customHeight="1" x14ac:dyDescent="0.3">
      <c r="A438" s="5" t="s">
        <v>709</v>
      </c>
      <c r="B438" s="4" t="s">
        <v>708</v>
      </c>
      <c r="C438" s="4" t="s">
        <v>697</v>
      </c>
      <c r="D438" s="7">
        <v>72.742922796210394</v>
      </c>
    </row>
    <row r="439" spans="1:4" ht="20.25" customHeight="1" x14ac:dyDescent="0.3">
      <c r="A439" s="5" t="s">
        <v>711</v>
      </c>
      <c r="B439" s="4" t="s">
        <v>710</v>
      </c>
      <c r="C439" s="4" t="s">
        <v>697</v>
      </c>
      <c r="D439" s="7">
        <v>73.26054985735459</v>
      </c>
    </row>
    <row r="440" spans="1:4" ht="20.25" customHeight="1" x14ac:dyDescent="0.3">
      <c r="A440" s="5" t="s">
        <v>713</v>
      </c>
      <c r="B440" s="4" t="s">
        <v>712</v>
      </c>
      <c r="C440" s="4" t="s">
        <v>697</v>
      </c>
      <c r="D440" s="7">
        <v>74.397224779252397</v>
      </c>
    </row>
    <row r="441" spans="1:4" ht="20.25" customHeight="1" x14ac:dyDescent="0.3">
      <c r="A441" s="12">
        <v>1329811080</v>
      </c>
      <c r="B441" s="11" t="s">
        <v>715</v>
      </c>
      <c r="C441" s="11" t="s">
        <v>714</v>
      </c>
      <c r="D441" s="16">
        <v>12.593786569559999</v>
      </c>
    </row>
    <row r="442" spans="1:4" ht="20.25" customHeight="1" x14ac:dyDescent="0.3">
      <c r="A442" s="12">
        <v>1329812080</v>
      </c>
      <c r="B442" s="11" t="s">
        <v>716</v>
      </c>
      <c r="C442" s="11" t="s">
        <v>714</v>
      </c>
      <c r="D442" s="16">
        <v>12.125085774899999</v>
      </c>
    </row>
    <row r="443" spans="1:4" ht="20.25" customHeight="1" x14ac:dyDescent="0.3">
      <c r="A443" s="12">
        <v>1329823080</v>
      </c>
      <c r="B443" s="11" t="s">
        <v>717</v>
      </c>
      <c r="C443" s="11" t="s">
        <v>714</v>
      </c>
      <c r="D443" s="16">
        <v>15.170561040809998</v>
      </c>
    </row>
    <row r="444" spans="1:4" ht="20.25" customHeight="1" x14ac:dyDescent="0.3">
      <c r="A444" s="12">
        <v>1329806080</v>
      </c>
      <c r="B444" s="11" t="s">
        <v>718</v>
      </c>
      <c r="C444" s="11" t="s">
        <v>714</v>
      </c>
      <c r="D444" s="16">
        <v>13.031919921089999</v>
      </c>
    </row>
    <row r="445" spans="1:4" ht="20.25" customHeight="1" x14ac:dyDescent="0.3">
      <c r="A445" s="12" t="s">
        <v>721</v>
      </c>
      <c r="B445" s="11" t="s">
        <v>720</v>
      </c>
      <c r="C445" s="11" t="s">
        <v>719</v>
      </c>
      <c r="D445" s="16">
        <v>11.522594078289998</v>
      </c>
    </row>
    <row r="446" spans="1:4" ht="20.25" customHeight="1" x14ac:dyDescent="0.3">
      <c r="A446" s="12" t="s">
        <v>723</v>
      </c>
      <c r="B446" s="11" t="s">
        <v>722</v>
      </c>
      <c r="C446" s="11" t="s">
        <v>719</v>
      </c>
      <c r="D446" s="16">
        <v>22.681036192759997</v>
      </c>
    </row>
    <row r="447" spans="1:4" ht="20.25" customHeight="1" x14ac:dyDescent="0.3">
      <c r="A447" s="15" t="s">
        <v>725</v>
      </c>
      <c r="B447" s="11" t="s">
        <v>724</v>
      </c>
      <c r="C447" s="11" t="s">
        <v>719</v>
      </c>
      <c r="D447" s="16">
        <v>18.316519314840001</v>
      </c>
    </row>
    <row r="448" spans="1:4" ht="20.25" customHeight="1" x14ac:dyDescent="0.3">
      <c r="A448" s="15" t="s">
        <v>727</v>
      </c>
      <c r="B448" s="11" t="s">
        <v>726</v>
      </c>
      <c r="C448" s="11" t="s">
        <v>719</v>
      </c>
      <c r="D448" s="16">
        <v>10.8862235181</v>
      </c>
    </row>
    <row r="449" spans="1:4" ht="20.25" customHeight="1" x14ac:dyDescent="0.3">
      <c r="A449" s="15" t="s">
        <v>729</v>
      </c>
      <c r="B449" s="11" t="s">
        <v>728</v>
      </c>
      <c r="C449" s="11" t="s">
        <v>719</v>
      </c>
      <c r="D449" s="16">
        <v>10.8862235181</v>
      </c>
    </row>
    <row r="450" spans="1:4" ht="20.25" customHeight="1" x14ac:dyDescent="0.3">
      <c r="A450" s="15" t="s">
        <v>731</v>
      </c>
      <c r="B450" s="11" t="s">
        <v>730</v>
      </c>
      <c r="C450" s="11" t="s">
        <v>719</v>
      </c>
      <c r="D450" s="16">
        <v>24.142593736799995</v>
      </c>
    </row>
    <row r="451" spans="1:4" ht="20.25" customHeight="1" x14ac:dyDescent="0.3">
      <c r="A451" s="15" t="s">
        <v>732</v>
      </c>
      <c r="B451" s="11" t="s">
        <v>730</v>
      </c>
      <c r="C451" s="11" t="s">
        <v>719</v>
      </c>
      <c r="D451" s="16">
        <v>23.126654908445897</v>
      </c>
    </row>
    <row r="452" spans="1:4" ht="20.25" customHeight="1" x14ac:dyDescent="0.3">
      <c r="A452" s="15" t="s">
        <v>733</v>
      </c>
      <c r="B452" s="11" t="s">
        <v>730</v>
      </c>
      <c r="C452" s="11" t="s">
        <v>719</v>
      </c>
      <c r="D452" s="16">
        <v>24.142593736799995</v>
      </c>
    </row>
    <row r="453" spans="1:4" ht="20.25" customHeight="1" x14ac:dyDescent="0.3">
      <c r="A453" s="15" t="s">
        <v>734</v>
      </c>
      <c r="B453" s="11" t="s">
        <v>730</v>
      </c>
      <c r="C453" s="11" t="s">
        <v>719</v>
      </c>
      <c r="D453" s="16">
        <v>23.126654908445897</v>
      </c>
    </row>
    <row r="454" spans="1:4" ht="20.25" customHeight="1" x14ac:dyDescent="0.3">
      <c r="A454" s="15" t="s">
        <v>735</v>
      </c>
      <c r="B454" s="11" t="s">
        <v>730</v>
      </c>
      <c r="C454" s="11" t="s">
        <v>719</v>
      </c>
      <c r="D454" s="16">
        <v>10.255005515789998</v>
      </c>
    </row>
    <row r="455" spans="1:4" ht="20.25" customHeight="1" x14ac:dyDescent="0.3">
      <c r="A455" s="15" t="s">
        <v>736</v>
      </c>
      <c r="B455" s="23" t="s">
        <v>730</v>
      </c>
      <c r="C455" s="40" t="s">
        <v>719</v>
      </c>
      <c r="D455" s="16">
        <v>22.637291766319997</v>
      </c>
    </row>
    <row r="456" spans="1:4" ht="20.25" customHeight="1" x14ac:dyDescent="0.3">
      <c r="A456" s="15" t="s">
        <v>737</v>
      </c>
      <c r="B456" s="23" t="s">
        <v>730</v>
      </c>
      <c r="C456" s="40" t="s">
        <v>719</v>
      </c>
      <c r="D456" s="16">
        <v>10.593484734419999</v>
      </c>
    </row>
    <row r="457" spans="1:4" ht="20.25" customHeight="1" x14ac:dyDescent="0.3">
      <c r="A457" s="15" t="s">
        <v>738</v>
      </c>
      <c r="B457" s="23" t="s">
        <v>730</v>
      </c>
      <c r="C457" s="40" t="s">
        <v>719</v>
      </c>
      <c r="D457" s="16">
        <v>11.28398988685</v>
      </c>
    </row>
    <row r="458" spans="1:4" ht="20.25" customHeight="1" x14ac:dyDescent="0.3">
      <c r="A458" s="15" t="s">
        <v>739</v>
      </c>
      <c r="B458" s="23" t="s">
        <v>730</v>
      </c>
      <c r="C458" s="40" t="s">
        <v>719</v>
      </c>
      <c r="D458" s="16">
        <v>18.566744988540002</v>
      </c>
    </row>
    <row r="459" spans="1:4" ht="20.25" customHeight="1" x14ac:dyDescent="0.3">
      <c r="A459" s="15" t="s">
        <v>740</v>
      </c>
      <c r="B459" s="23" t="s">
        <v>730</v>
      </c>
      <c r="C459" s="40" t="s">
        <v>719</v>
      </c>
      <c r="D459" s="16">
        <v>18.566744988540002</v>
      </c>
    </row>
    <row r="460" spans="1:4" ht="20.25" customHeight="1" x14ac:dyDescent="0.3">
      <c r="A460" s="15" t="s">
        <v>741</v>
      </c>
      <c r="B460" s="23" t="s">
        <v>730</v>
      </c>
      <c r="C460" s="40" t="s">
        <v>719</v>
      </c>
      <c r="D460" s="16">
        <v>17.311380028419997</v>
      </c>
    </row>
    <row r="461" spans="1:4" ht="20.25" customHeight="1" x14ac:dyDescent="0.3">
      <c r="A461" s="15" t="s">
        <v>742</v>
      </c>
      <c r="B461" s="23" t="s">
        <v>730</v>
      </c>
      <c r="C461" s="40" t="s">
        <v>719</v>
      </c>
      <c r="D461" s="16">
        <v>17.311380028419997</v>
      </c>
    </row>
    <row r="462" spans="1:4" ht="20.25" customHeight="1" x14ac:dyDescent="0.3">
      <c r="A462" s="15" t="s">
        <v>743</v>
      </c>
      <c r="B462" s="23" t="s">
        <v>730</v>
      </c>
      <c r="C462" s="40" t="s">
        <v>719</v>
      </c>
      <c r="D462" s="16">
        <v>21.109326079287495</v>
      </c>
    </row>
    <row r="463" spans="1:4" ht="20.25" customHeight="1" x14ac:dyDescent="0.3">
      <c r="A463" s="15" t="s">
        <v>744</v>
      </c>
      <c r="B463" s="23" t="s">
        <v>730</v>
      </c>
      <c r="C463" s="40" t="s">
        <v>719</v>
      </c>
      <c r="D463" s="16">
        <v>10.136794803999999</v>
      </c>
    </row>
    <row r="464" spans="1:4" ht="20.25" customHeight="1" x14ac:dyDescent="0.3">
      <c r="A464" s="15" t="s">
        <v>745</v>
      </c>
      <c r="B464" s="23" t="s">
        <v>730</v>
      </c>
      <c r="C464" s="40" t="s">
        <v>719</v>
      </c>
      <c r="D464" s="16">
        <v>11.40329198257</v>
      </c>
    </row>
    <row r="465" spans="1:4" ht="20.25" customHeight="1" x14ac:dyDescent="0.3">
      <c r="A465" s="15" t="s">
        <v>747</v>
      </c>
      <c r="B465" s="20" t="s">
        <v>746</v>
      </c>
      <c r="C465" s="40" t="s">
        <v>719</v>
      </c>
      <c r="D465" s="16">
        <v>17.311380028419997</v>
      </c>
    </row>
    <row r="466" spans="1:4" ht="20.25" customHeight="1" x14ac:dyDescent="0.3">
      <c r="A466" s="15" t="s">
        <v>749</v>
      </c>
      <c r="B466" s="20" t="s">
        <v>748</v>
      </c>
      <c r="C466" s="40" t="s">
        <v>719</v>
      </c>
      <c r="D466" s="16">
        <v>23.425503446349897</v>
      </c>
    </row>
    <row r="467" spans="1:4" ht="20.25" customHeight="1" x14ac:dyDescent="0.3">
      <c r="A467" s="15" t="s">
        <v>750</v>
      </c>
      <c r="B467" s="20" t="s">
        <v>746</v>
      </c>
      <c r="C467" s="40" t="s">
        <v>719</v>
      </c>
      <c r="D467" s="16">
        <v>10.136794803999999</v>
      </c>
    </row>
    <row r="468" spans="1:4" ht="20.25" customHeight="1" x14ac:dyDescent="0.3">
      <c r="A468" s="15" t="s">
        <v>751</v>
      </c>
      <c r="B468" s="20" t="s">
        <v>746</v>
      </c>
      <c r="C468" s="40" t="s">
        <v>719</v>
      </c>
      <c r="D468" s="16">
        <v>18.566744988540002</v>
      </c>
    </row>
    <row r="469" spans="1:4" ht="20.25" customHeight="1" x14ac:dyDescent="0.3">
      <c r="A469" s="15" t="s">
        <v>752</v>
      </c>
      <c r="B469" s="20" t="s">
        <v>746</v>
      </c>
      <c r="C469" s="40" t="s">
        <v>719</v>
      </c>
      <c r="D469" s="16">
        <v>10.337338298699999</v>
      </c>
    </row>
    <row r="470" spans="1:4" ht="20.25" customHeight="1" x14ac:dyDescent="0.3">
      <c r="A470" s="15" t="s">
        <v>753</v>
      </c>
      <c r="B470" s="20" t="s">
        <v>746</v>
      </c>
      <c r="C470" s="40" t="s">
        <v>719</v>
      </c>
      <c r="D470" s="16">
        <v>10.776446474219998</v>
      </c>
    </row>
    <row r="471" spans="1:4" ht="20.25" customHeight="1" x14ac:dyDescent="0.3">
      <c r="A471" s="15" t="s">
        <v>756</v>
      </c>
      <c r="B471" s="11" t="s">
        <v>755</v>
      </c>
      <c r="C471" s="11" t="s">
        <v>754</v>
      </c>
      <c r="D471" s="16">
        <v>15.236668583359997</v>
      </c>
    </row>
    <row r="472" spans="1:4" ht="20.25" customHeight="1" x14ac:dyDescent="0.3">
      <c r="A472" s="15" t="s">
        <v>758</v>
      </c>
      <c r="B472" s="11" t="s">
        <v>757</v>
      </c>
      <c r="C472" s="11" t="s">
        <v>754</v>
      </c>
      <c r="D472" s="21">
        <v>16.319532740369997</v>
      </c>
    </row>
    <row r="473" spans="1:4" ht="20.25" customHeight="1" x14ac:dyDescent="0.3">
      <c r="A473" s="15" t="s">
        <v>760</v>
      </c>
      <c r="B473" s="11" t="s">
        <v>759</v>
      </c>
      <c r="C473" s="11" t="s">
        <v>754</v>
      </c>
      <c r="D473" s="21">
        <v>15.326517196479999</v>
      </c>
    </row>
    <row r="474" spans="1:4" ht="20.25" customHeight="1" x14ac:dyDescent="0.3">
      <c r="A474" s="15" t="s">
        <v>762</v>
      </c>
      <c r="B474" s="11" t="s">
        <v>761</v>
      </c>
      <c r="C474" s="11" t="s">
        <v>754</v>
      </c>
      <c r="D474" s="21">
        <v>18.981351519549996</v>
      </c>
    </row>
    <row r="475" spans="1:4" ht="20.25" customHeight="1" x14ac:dyDescent="0.3">
      <c r="A475" s="15" t="s">
        <v>765</v>
      </c>
      <c r="B475" s="20" t="s">
        <v>764</v>
      </c>
      <c r="C475" s="40" t="s">
        <v>763</v>
      </c>
      <c r="D475" s="16">
        <v>13.30548777389</v>
      </c>
    </row>
    <row r="476" spans="1:4" ht="20.25" customHeight="1" x14ac:dyDescent="0.3">
      <c r="A476" s="15" t="s">
        <v>766</v>
      </c>
      <c r="B476" s="20" t="s">
        <v>764</v>
      </c>
      <c r="C476" s="40" t="s">
        <v>763</v>
      </c>
      <c r="D476" s="16">
        <v>13.30548777389</v>
      </c>
    </row>
    <row r="477" spans="1:4" ht="20.25" customHeight="1" x14ac:dyDescent="0.3">
      <c r="A477" s="15" t="s">
        <v>767</v>
      </c>
      <c r="B477" s="20" t="s">
        <v>764</v>
      </c>
      <c r="C477" s="40" t="s">
        <v>763</v>
      </c>
      <c r="D477" s="16">
        <v>12.727495983800001</v>
      </c>
    </row>
    <row r="478" spans="1:4" ht="20.25" customHeight="1" x14ac:dyDescent="0.3">
      <c r="A478" s="26" t="s">
        <v>769</v>
      </c>
      <c r="B478" s="20" t="s">
        <v>768</v>
      </c>
      <c r="C478" s="40" t="s">
        <v>763</v>
      </c>
      <c r="D478" s="16">
        <v>20.574557941789969</v>
      </c>
    </row>
    <row r="479" spans="1:4" ht="20.25" customHeight="1" x14ac:dyDescent="0.3">
      <c r="A479" s="26" t="s">
        <v>771</v>
      </c>
      <c r="B479" s="20" t="s">
        <v>770</v>
      </c>
      <c r="C479" s="40" t="s">
        <v>763</v>
      </c>
      <c r="D479" s="16">
        <v>20.574557941789969</v>
      </c>
    </row>
    <row r="480" spans="1:4" ht="20.25" customHeight="1" x14ac:dyDescent="0.3">
      <c r="A480" s="26" t="s">
        <v>773</v>
      </c>
      <c r="B480" s="20" t="s">
        <v>772</v>
      </c>
      <c r="C480" s="40" t="s">
        <v>763</v>
      </c>
      <c r="D480" s="16">
        <v>23.298582752333299</v>
      </c>
    </row>
    <row r="481" spans="1:4" ht="20.25" customHeight="1" x14ac:dyDescent="0.3">
      <c r="A481" s="26" t="s">
        <v>775</v>
      </c>
      <c r="B481" s="20" t="s">
        <v>774</v>
      </c>
      <c r="C481" s="40" t="s">
        <v>763</v>
      </c>
      <c r="D481" s="16">
        <v>24.297293358512995</v>
      </c>
    </row>
    <row r="482" spans="1:4" ht="20.25" customHeight="1" x14ac:dyDescent="0.3">
      <c r="A482" s="26" t="s">
        <v>777</v>
      </c>
      <c r="B482" s="20" t="s">
        <v>776</v>
      </c>
      <c r="C482" s="40" t="s">
        <v>763</v>
      </c>
      <c r="D482" s="16">
        <v>23.298582752333299</v>
      </c>
    </row>
    <row r="483" spans="1:4" ht="20.25" customHeight="1" x14ac:dyDescent="0.3">
      <c r="A483" s="26" t="s">
        <v>779</v>
      </c>
      <c r="B483" s="20" t="s">
        <v>778</v>
      </c>
      <c r="C483" s="40" t="s">
        <v>763</v>
      </c>
      <c r="D483" s="16">
        <v>23.802654543867966</v>
      </c>
    </row>
    <row r="484" spans="1:4" ht="20.25" customHeight="1" x14ac:dyDescent="0.3">
      <c r="A484" s="26" t="s">
        <v>781</v>
      </c>
      <c r="B484" s="20" t="s">
        <v>780</v>
      </c>
      <c r="C484" s="40" t="s">
        <v>763</v>
      </c>
      <c r="D484" s="16">
        <v>22.606928935782435</v>
      </c>
    </row>
    <row r="485" spans="1:4" ht="20.25" customHeight="1" x14ac:dyDescent="0.3">
      <c r="A485" s="26" t="s">
        <v>783</v>
      </c>
      <c r="B485" s="20" t="s">
        <v>782</v>
      </c>
      <c r="C485" s="40" t="s">
        <v>763</v>
      </c>
      <c r="D485" s="16">
        <v>33.574748914862241</v>
      </c>
    </row>
    <row r="486" spans="1:4" ht="20.25" customHeight="1" x14ac:dyDescent="0.3">
      <c r="A486" s="26" t="s">
        <v>785</v>
      </c>
      <c r="B486" s="20" t="s">
        <v>784</v>
      </c>
      <c r="C486" s="40" t="s">
        <v>763</v>
      </c>
      <c r="D486" s="16">
        <v>32.561677673881434</v>
      </c>
    </row>
    <row r="487" spans="1:4" ht="20.25" customHeight="1" x14ac:dyDescent="0.3">
      <c r="A487" s="24" t="s">
        <v>787</v>
      </c>
      <c r="B487" s="20" t="s">
        <v>786</v>
      </c>
      <c r="C487" s="40" t="s">
        <v>763</v>
      </c>
      <c r="D487" s="16">
        <v>31.235575765833687</v>
      </c>
    </row>
    <row r="488" spans="1:4" ht="20.25" customHeight="1" x14ac:dyDescent="0.3">
      <c r="A488" s="15" t="s">
        <v>790</v>
      </c>
      <c r="B488" s="20" t="s">
        <v>789</v>
      </c>
      <c r="C488" s="40" t="s">
        <v>788</v>
      </c>
      <c r="D488" s="16">
        <v>3.3170239369999992</v>
      </c>
    </row>
    <row r="489" spans="1:4" ht="20.25" customHeight="1" x14ac:dyDescent="0.3">
      <c r="A489" s="15" t="s">
        <v>792</v>
      </c>
      <c r="B489" s="20" t="s">
        <v>791</v>
      </c>
      <c r="C489" s="40" t="s">
        <v>719</v>
      </c>
      <c r="D489" s="16">
        <v>18.900515931029997</v>
      </c>
    </row>
    <row r="490" spans="1:4" ht="20.25" customHeight="1" x14ac:dyDescent="0.3">
      <c r="A490" s="49" t="s">
        <v>794</v>
      </c>
      <c r="B490" s="20" t="s">
        <v>793</v>
      </c>
      <c r="C490" s="40" t="s">
        <v>719</v>
      </c>
      <c r="D490" s="16">
        <v>10.711339908719998</v>
      </c>
    </row>
    <row r="491" spans="1:4" ht="20.25" customHeight="1" x14ac:dyDescent="0.3">
      <c r="A491" s="15" t="s">
        <v>796</v>
      </c>
      <c r="B491" s="20" t="s">
        <v>795</v>
      </c>
      <c r="C491" s="23" t="s">
        <v>719</v>
      </c>
      <c r="D491" s="16">
        <v>10.040587087999999</v>
      </c>
    </row>
    <row r="492" spans="1:4" ht="20.25" customHeight="1" x14ac:dyDescent="0.3">
      <c r="A492" s="15" t="s">
        <v>797</v>
      </c>
      <c r="B492" s="20" t="s">
        <v>748</v>
      </c>
      <c r="C492" s="23" t="s">
        <v>719</v>
      </c>
      <c r="D492" s="16">
        <v>26.821028664183373</v>
      </c>
    </row>
    <row r="493" spans="1:4" ht="20.25" customHeight="1" x14ac:dyDescent="0.3">
      <c r="A493" s="15" t="s">
        <v>798</v>
      </c>
      <c r="B493" s="20" t="s">
        <v>748</v>
      </c>
      <c r="C493" s="23" t="s">
        <v>719</v>
      </c>
      <c r="D493" s="16">
        <v>14.880937785916329</v>
      </c>
    </row>
    <row r="494" spans="1:4" ht="20.25" customHeight="1" x14ac:dyDescent="0.3">
      <c r="A494" s="15" t="s">
        <v>799</v>
      </c>
      <c r="B494" s="20" t="s">
        <v>748</v>
      </c>
      <c r="C494" s="23" t="s">
        <v>719</v>
      </c>
      <c r="D494" s="16">
        <v>14.880937785916329</v>
      </c>
    </row>
    <row r="495" spans="1:4" ht="20.25" customHeight="1" x14ac:dyDescent="0.3">
      <c r="A495" s="15" t="s">
        <v>800</v>
      </c>
      <c r="B495" s="20" t="s">
        <v>748</v>
      </c>
      <c r="C495" s="23" t="s">
        <v>719</v>
      </c>
      <c r="D495" s="16">
        <v>14.565396272220056</v>
      </c>
    </row>
    <row r="496" spans="1:4" ht="20.25" customHeight="1" x14ac:dyDescent="0.3">
      <c r="A496" s="15" t="s">
        <v>801</v>
      </c>
      <c r="B496" s="20" t="s">
        <v>748</v>
      </c>
      <c r="C496" s="23" t="s">
        <v>719</v>
      </c>
      <c r="D496" s="16">
        <v>25.230699435154147</v>
      </c>
    </row>
    <row r="497" spans="1:4" ht="20.25" customHeight="1" x14ac:dyDescent="0.3">
      <c r="A497" s="15" t="s">
        <v>802</v>
      </c>
      <c r="B497" s="20" t="s">
        <v>748</v>
      </c>
      <c r="C497" s="23" t="s">
        <v>719</v>
      </c>
      <c r="D497" s="16">
        <v>25.634592572685381</v>
      </c>
    </row>
    <row r="498" spans="1:4" ht="20.25" customHeight="1" x14ac:dyDescent="0.3">
      <c r="A498" s="15" t="s">
        <v>803</v>
      </c>
      <c r="B498" s="20" t="s">
        <v>748</v>
      </c>
      <c r="C498" s="23" t="s">
        <v>719</v>
      </c>
      <c r="D498" s="16">
        <v>14.880937785916329</v>
      </c>
    </row>
    <row r="499" spans="1:4" ht="20.25" customHeight="1" x14ac:dyDescent="0.3">
      <c r="A499" s="15" t="s">
        <v>804</v>
      </c>
      <c r="B499" s="20" t="s">
        <v>748</v>
      </c>
      <c r="C499" s="23" t="s">
        <v>719</v>
      </c>
      <c r="D499" s="16">
        <v>13.770231657705443</v>
      </c>
    </row>
    <row r="500" spans="1:4" ht="20.25" customHeight="1" x14ac:dyDescent="0.3">
      <c r="A500" s="26" t="s">
        <v>807</v>
      </c>
      <c r="B500" s="11" t="s">
        <v>806</v>
      </c>
      <c r="C500" s="11" t="s">
        <v>805</v>
      </c>
      <c r="D500" s="16">
        <v>10.997739371519998</v>
      </c>
    </row>
    <row r="501" spans="1:4" ht="20.25" customHeight="1" x14ac:dyDescent="0.3">
      <c r="A501" s="26" t="s">
        <v>809</v>
      </c>
      <c r="B501" s="11" t="s">
        <v>808</v>
      </c>
      <c r="C501" s="11" t="s">
        <v>805</v>
      </c>
      <c r="D501" s="16">
        <v>11.007286020279997</v>
      </c>
    </row>
    <row r="502" spans="1:4" ht="20.25" customHeight="1" x14ac:dyDescent="0.3">
      <c r="A502" s="26" t="s">
        <v>811</v>
      </c>
      <c r="B502" s="11" t="s">
        <v>810</v>
      </c>
      <c r="C502" s="11" t="s">
        <v>805</v>
      </c>
      <c r="D502" s="16">
        <v>10.997739371519998</v>
      </c>
    </row>
    <row r="503" spans="1:4" ht="20.25" customHeight="1" x14ac:dyDescent="0.3">
      <c r="A503" s="26" t="s">
        <v>812</v>
      </c>
      <c r="B503" s="11" t="s">
        <v>795</v>
      </c>
      <c r="C503" s="11" t="s">
        <v>805</v>
      </c>
      <c r="D503" s="16">
        <v>10.171779427999997</v>
      </c>
    </row>
    <row r="504" spans="1:4" ht="20.25" customHeight="1" x14ac:dyDescent="0.3">
      <c r="A504" s="26" t="s">
        <v>814</v>
      </c>
      <c r="B504" s="11" t="s">
        <v>813</v>
      </c>
      <c r="C504" s="11" t="s">
        <v>805</v>
      </c>
      <c r="D504" s="16">
        <v>14.900962304630687</v>
      </c>
    </row>
    <row r="505" spans="1:4" ht="20.25" customHeight="1" x14ac:dyDescent="0.3">
      <c r="A505" s="26" t="s">
        <v>816</v>
      </c>
      <c r="B505" s="11" t="s">
        <v>815</v>
      </c>
      <c r="C505" s="11" t="s">
        <v>805</v>
      </c>
      <c r="D505" s="16">
        <v>14.900962304630687</v>
      </c>
    </row>
    <row r="506" spans="1:4" ht="20.25" customHeight="1" x14ac:dyDescent="0.3">
      <c r="A506" s="26" t="s">
        <v>818</v>
      </c>
      <c r="B506" s="11" t="s">
        <v>817</v>
      </c>
      <c r="C506" s="11" t="s">
        <v>805</v>
      </c>
      <c r="D506" s="16">
        <v>14.900962304630687</v>
      </c>
    </row>
    <row r="507" spans="1:4" ht="20.25" customHeight="1" x14ac:dyDescent="0.3">
      <c r="A507" s="26" t="s">
        <v>820</v>
      </c>
      <c r="B507" s="11" t="s">
        <v>819</v>
      </c>
      <c r="C507" s="11" t="s">
        <v>805</v>
      </c>
      <c r="D507" s="16">
        <v>14.566645842667821</v>
      </c>
    </row>
    <row r="508" spans="1:4" ht="20.25" customHeight="1" x14ac:dyDescent="0.3">
      <c r="A508" s="26" t="s">
        <v>822</v>
      </c>
      <c r="B508" s="11" t="s">
        <v>821</v>
      </c>
      <c r="C508" s="11" t="s">
        <v>805</v>
      </c>
      <c r="D508" s="16">
        <v>23.298582752333299</v>
      </c>
    </row>
    <row r="509" spans="1:4" ht="20.25" customHeight="1" x14ac:dyDescent="0.3">
      <c r="A509" s="26" t="s">
        <v>824</v>
      </c>
      <c r="B509" s="11" t="s">
        <v>823</v>
      </c>
      <c r="C509" s="11" t="s">
        <v>805</v>
      </c>
      <c r="D509" s="16">
        <v>24.297293358512995</v>
      </c>
    </row>
    <row r="510" spans="1:4" ht="20.25" customHeight="1" x14ac:dyDescent="0.3">
      <c r="A510" s="26" t="s">
        <v>826</v>
      </c>
      <c r="B510" s="11" t="s">
        <v>825</v>
      </c>
      <c r="C510" s="11" t="s">
        <v>805</v>
      </c>
      <c r="D510" s="16">
        <v>23.298582752333299</v>
      </c>
    </row>
    <row r="511" spans="1:4" ht="20.25" customHeight="1" x14ac:dyDescent="0.3">
      <c r="A511" s="26" t="s">
        <v>828</v>
      </c>
      <c r="B511" s="11" t="s">
        <v>827</v>
      </c>
      <c r="C511" s="11" t="s">
        <v>805</v>
      </c>
      <c r="D511" s="16">
        <v>23.802654543867966</v>
      </c>
    </row>
    <row r="512" spans="1:4" ht="20.25" customHeight="1" x14ac:dyDescent="0.3">
      <c r="A512" s="26" t="s">
        <v>830</v>
      </c>
      <c r="B512" s="11" t="s">
        <v>829</v>
      </c>
      <c r="C512" s="11" t="s">
        <v>805</v>
      </c>
      <c r="D512" s="16">
        <v>19.312257653209997</v>
      </c>
    </row>
    <row r="513" spans="1:4" ht="20.25" customHeight="1" x14ac:dyDescent="0.3">
      <c r="A513" s="26" t="s">
        <v>832</v>
      </c>
      <c r="B513" s="11" t="s">
        <v>831</v>
      </c>
      <c r="C513" s="11" t="s">
        <v>805</v>
      </c>
      <c r="D513" s="16">
        <v>32.561677673881434</v>
      </c>
    </row>
    <row r="514" spans="1:4" ht="20.25" customHeight="1" x14ac:dyDescent="0.3">
      <c r="A514" s="26" t="s">
        <v>834</v>
      </c>
      <c r="B514" s="11" t="s">
        <v>833</v>
      </c>
      <c r="C514" s="11" t="s">
        <v>805</v>
      </c>
      <c r="D514" s="16">
        <v>24.780078055168353</v>
      </c>
    </row>
    <row r="515" spans="1:4" ht="20.25" customHeight="1" x14ac:dyDescent="0.3">
      <c r="A515" s="26" t="s">
        <v>836</v>
      </c>
      <c r="B515" s="11" t="s">
        <v>835</v>
      </c>
      <c r="C515" s="11" t="s">
        <v>805</v>
      </c>
      <c r="D515" s="16">
        <v>33.574748914862241</v>
      </c>
    </row>
    <row r="516" spans="1:4" ht="20.25" customHeight="1" x14ac:dyDescent="0.3">
      <c r="A516" s="24" t="s">
        <v>838</v>
      </c>
      <c r="B516" s="11" t="s">
        <v>837</v>
      </c>
      <c r="C516" s="11" t="s">
        <v>805</v>
      </c>
      <c r="D516" s="16">
        <v>31.880486317150421</v>
      </c>
    </row>
    <row r="517" spans="1:4" ht="20.25" customHeight="1" x14ac:dyDescent="0.3">
      <c r="A517" s="24" t="s">
        <v>840</v>
      </c>
      <c r="B517" s="11" t="s">
        <v>839</v>
      </c>
      <c r="C517" s="11" t="s">
        <v>805</v>
      </c>
      <c r="D517" s="16">
        <v>22.606928935782435</v>
      </c>
    </row>
    <row r="518" spans="1:4" ht="20.25" customHeight="1" x14ac:dyDescent="0.3">
      <c r="A518" s="24" t="s">
        <v>842</v>
      </c>
      <c r="B518" s="11" t="s">
        <v>841</v>
      </c>
      <c r="C518" s="11" t="s">
        <v>805</v>
      </c>
      <c r="D518" s="16">
        <v>30.3471727326558</v>
      </c>
    </row>
    <row r="519" spans="1:4" ht="20.25" customHeight="1" x14ac:dyDescent="0.3">
      <c r="A519" s="24" t="s">
        <v>844</v>
      </c>
      <c r="B519" s="11" t="s">
        <v>843</v>
      </c>
      <c r="C519" s="11" t="s">
        <v>805</v>
      </c>
      <c r="D519" s="16">
        <v>31.396098305891375</v>
      </c>
    </row>
    <row r="520" spans="1:4" ht="20.25" customHeight="1" x14ac:dyDescent="0.3">
      <c r="A520" s="24" t="s">
        <v>846</v>
      </c>
      <c r="B520" s="11" t="s">
        <v>845</v>
      </c>
      <c r="C520" s="11" t="s">
        <v>805</v>
      </c>
      <c r="D520" s="16">
        <v>31.235575765833687</v>
      </c>
    </row>
    <row r="521" spans="1:4" ht="20.25" customHeight="1" x14ac:dyDescent="0.3">
      <c r="A521" s="24" t="s">
        <v>849</v>
      </c>
      <c r="B521" s="11" t="s">
        <v>848</v>
      </c>
      <c r="C521" s="11" t="s">
        <v>847</v>
      </c>
      <c r="D521" s="16">
        <v>14.900962304630687</v>
      </c>
    </row>
    <row r="522" spans="1:4" ht="20.25" customHeight="1" x14ac:dyDescent="0.3">
      <c r="A522" s="15">
        <v>15084183</v>
      </c>
      <c r="B522" s="20" t="s">
        <v>851</v>
      </c>
      <c r="C522" s="40" t="s">
        <v>850</v>
      </c>
      <c r="D522" s="16">
        <v>15.934976876</v>
      </c>
    </row>
    <row r="523" spans="1:4" ht="20.25" customHeight="1" x14ac:dyDescent="0.3">
      <c r="A523" s="15">
        <v>15153722</v>
      </c>
      <c r="B523" s="20" t="s">
        <v>852</v>
      </c>
      <c r="C523" s="40" t="s">
        <v>850</v>
      </c>
      <c r="D523" s="16">
        <v>14.424701290022796</v>
      </c>
    </row>
    <row r="524" spans="1:4" ht="20.25" customHeight="1" x14ac:dyDescent="0.3">
      <c r="A524" s="15" t="s">
        <v>854</v>
      </c>
      <c r="B524" s="20" t="s">
        <v>853</v>
      </c>
      <c r="C524" s="40" t="s">
        <v>850</v>
      </c>
      <c r="D524" s="16">
        <v>16.850575526748599</v>
      </c>
    </row>
    <row r="525" spans="1:4" ht="20.25" customHeight="1" x14ac:dyDescent="0.3">
      <c r="A525" s="15">
        <v>15278386</v>
      </c>
      <c r="B525" s="20" t="s">
        <v>855</v>
      </c>
      <c r="C525" s="40" t="s">
        <v>850</v>
      </c>
      <c r="D525" s="16">
        <v>19.105099095452797</v>
      </c>
    </row>
    <row r="526" spans="1:4" ht="20.25" customHeight="1" x14ac:dyDescent="0.3">
      <c r="A526" s="15">
        <v>9443200202</v>
      </c>
      <c r="B526" s="20" t="s">
        <v>857</v>
      </c>
      <c r="C526" s="40" t="s">
        <v>856</v>
      </c>
      <c r="D526" s="21">
        <v>50.571514794159981</v>
      </c>
    </row>
    <row r="527" spans="1:4" ht="20.25" customHeight="1" x14ac:dyDescent="0.3">
      <c r="A527" s="15">
        <v>9493200302</v>
      </c>
      <c r="B527" s="20" t="s">
        <v>857</v>
      </c>
      <c r="C527" s="40" t="s">
        <v>856</v>
      </c>
      <c r="D527" s="16">
        <v>65.819377904799993</v>
      </c>
    </row>
    <row r="528" spans="1:4" ht="20.25" customHeight="1" x14ac:dyDescent="0.3">
      <c r="A528" s="15">
        <v>9433200502</v>
      </c>
      <c r="B528" s="20" t="s">
        <v>857</v>
      </c>
      <c r="C528" s="40" t="s">
        <v>856</v>
      </c>
      <c r="D528" s="16">
        <v>75.347680517719994</v>
      </c>
    </row>
    <row r="529" spans="1:4" ht="20.25" customHeight="1" x14ac:dyDescent="0.3">
      <c r="A529" s="15" t="s">
        <v>858</v>
      </c>
      <c r="B529" s="20" t="s">
        <v>857</v>
      </c>
      <c r="C529" s="40" t="s">
        <v>856</v>
      </c>
      <c r="D529" s="16">
        <v>64.977161620789985</v>
      </c>
    </row>
    <row r="530" spans="1:4" ht="20.25" customHeight="1" x14ac:dyDescent="0.3">
      <c r="A530" s="15">
        <v>9433201002</v>
      </c>
      <c r="B530" s="20" t="s">
        <v>859</v>
      </c>
      <c r="C530" s="40" t="s">
        <v>856</v>
      </c>
      <c r="D530" s="22">
        <v>73.759283468099994</v>
      </c>
    </row>
    <row r="531" spans="1:4" ht="17.399999999999999" x14ac:dyDescent="0.3">
      <c r="A531" s="15" t="s">
        <v>862</v>
      </c>
      <c r="B531" s="20" t="s">
        <v>861</v>
      </c>
      <c r="C531" s="40" t="s">
        <v>860</v>
      </c>
      <c r="D531" s="14">
        <v>72.711459360800006</v>
      </c>
    </row>
    <row r="532" spans="1:4" ht="17.399999999999999" x14ac:dyDescent="0.3">
      <c r="A532" s="15" t="s">
        <v>864</v>
      </c>
      <c r="B532" s="20" t="s">
        <v>863</v>
      </c>
      <c r="C532" s="40" t="s">
        <v>860</v>
      </c>
      <c r="D532" s="21">
        <v>101.03891314778998</v>
      </c>
    </row>
    <row r="533" spans="1:4" ht="17.399999999999999" x14ac:dyDescent="0.3">
      <c r="A533" s="15" t="s">
        <v>866</v>
      </c>
      <c r="B533" s="20" t="s">
        <v>865</v>
      </c>
      <c r="C533" s="40" t="s">
        <v>860</v>
      </c>
      <c r="D533" s="21">
        <v>101.34766821654999</v>
      </c>
    </row>
    <row r="534" spans="1:4" ht="17.399999999999999" x14ac:dyDescent="0.3">
      <c r="A534" s="15" t="s">
        <v>868</v>
      </c>
      <c r="B534" s="20" t="s">
        <v>867</v>
      </c>
      <c r="C534" s="40" t="s">
        <v>860</v>
      </c>
      <c r="D534" s="21">
        <v>99.322303092949994</v>
      </c>
    </row>
    <row r="535" spans="1:4" ht="17.399999999999999" x14ac:dyDescent="0.3">
      <c r="A535" s="15" t="s">
        <v>870</v>
      </c>
      <c r="B535" s="20" t="s">
        <v>869</v>
      </c>
      <c r="C535" s="40" t="s">
        <v>860</v>
      </c>
      <c r="D535" s="21">
        <v>78.373720224539994</v>
      </c>
    </row>
    <row r="536" spans="1:4" ht="17.399999999999999" x14ac:dyDescent="0.3">
      <c r="A536" s="15" t="s">
        <v>872</v>
      </c>
      <c r="B536" s="20" t="s">
        <v>871</v>
      </c>
      <c r="C536" s="40" t="s">
        <v>860</v>
      </c>
      <c r="D536" s="21">
        <v>80.716715632939994</v>
      </c>
    </row>
    <row r="537" spans="1:4" ht="17.399999999999999" x14ac:dyDescent="0.3">
      <c r="A537" s="15" t="s">
        <v>874</v>
      </c>
      <c r="B537" s="20" t="s">
        <v>873</v>
      </c>
      <c r="C537" s="40" t="s">
        <v>860</v>
      </c>
      <c r="D537" s="19">
        <v>89.933475912500001</v>
      </c>
    </row>
    <row r="538" spans="1:4" ht="17.399999999999999" x14ac:dyDescent="0.3">
      <c r="A538" s="15" t="s">
        <v>875</v>
      </c>
      <c r="B538" s="20" t="s">
        <v>873</v>
      </c>
      <c r="C538" s="40" t="s">
        <v>860</v>
      </c>
      <c r="D538" s="21">
        <f>D537</f>
        <v>89.933475912500001</v>
      </c>
    </row>
    <row r="539" spans="1:4" ht="20.25" customHeight="1" x14ac:dyDescent="0.3">
      <c r="A539" s="15" t="s">
        <v>877</v>
      </c>
      <c r="B539" s="20" t="s">
        <v>876</v>
      </c>
      <c r="C539" s="40" t="s">
        <v>860</v>
      </c>
      <c r="D539" s="21">
        <v>170.05970116999998</v>
      </c>
    </row>
    <row r="540" spans="1:4" ht="20.25" customHeight="1" x14ac:dyDescent="0.3">
      <c r="A540" s="15" t="s">
        <v>878</v>
      </c>
      <c r="B540" s="20" t="s">
        <v>876</v>
      </c>
      <c r="C540" s="40" t="s">
        <v>860</v>
      </c>
      <c r="D540" s="35">
        <v>167.80577776999996</v>
      </c>
    </row>
    <row r="541" spans="1:4" ht="17.399999999999999" x14ac:dyDescent="0.3">
      <c r="A541" s="15" t="s">
        <v>880</v>
      </c>
      <c r="B541" s="20" t="s">
        <v>879</v>
      </c>
      <c r="C541" s="40" t="s">
        <v>860</v>
      </c>
      <c r="D541" s="14">
        <v>141.16113816199996</v>
      </c>
    </row>
    <row r="542" spans="1:4" ht="17.399999999999999" x14ac:dyDescent="0.3">
      <c r="A542" s="15" t="s">
        <v>882</v>
      </c>
      <c r="B542" s="20" t="s">
        <v>881</v>
      </c>
      <c r="C542" s="40" t="s">
        <v>860</v>
      </c>
      <c r="D542" s="14">
        <v>45.752276165999987</v>
      </c>
    </row>
    <row r="543" spans="1:4" ht="17.399999999999999" x14ac:dyDescent="0.3">
      <c r="A543" s="15" t="s">
        <v>884</v>
      </c>
      <c r="B543" s="20" t="s">
        <v>883</v>
      </c>
      <c r="C543" s="40" t="s">
        <v>860</v>
      </c>
      <c r="D543" s="14">
        <v>45.752276165999987</v>
      </c>
    </row>
    <row r="544" spans="1:4" ht="17.399999999999999" x14ac:dyDescent="0.3">
      <c r="A544" s="15" t="s">
        <v>886</v>
      </c>
      <c r="B544" s="20" t="s">
        <v>885</v>
      </c>
      <c r="C544" s="40" t="s">
        <v>860</v>
      </c>
      <c r="D544" s="22">
        <v>78.571814555350016</v>
      </c>
    </row>
    <row r="545" spans="1:4" ht="20.25" customHeight="1" x14ac:dyDescent="0.3">
      <c r="A545" s="15" t="s">
        <v>888</v>
      </c>
      <c r="B545" s="20" t="s">
        <v>887</v>
      </c>
      <c r="C545" s="40" t="s">
        <v>860</v>
      </c>
      <c r="D545" s="22">
        <v>48.655967974280003</v>
      </c>
    </row>
    <row r="546" spans="1:4" ht="17.399999999999999" x14ac:dyDescent="0.3">
      <c r="A546" s="15" t="s">
        <v>890</v>
      </c>
      <c r="B546" s="20" t="s">
        <v>889</v>
      </c>
      <c r="C546" s="40" t="s">
        <v>860</v>
      </c>
      <c r="D546" s="22">
        <v>48.655967974280003</v>
      </c>
    </row>
    <row r="547" spans="1:4" ht="17.399999999999999" x14ac:dyDescent="0.3">
      <c r="A547" s="15" t="s">
        <v>892</v>
      </c>
      <c r="B547" s="20" t="s">
        <v>891</v>
      </c>
      <c r="C547" s="40" t="s">
        <v>860</v>
      </c>
      <c r="D547" s="14">
        <v>85.504004027419995</v>
      </c>
    </row>
    <row r="548" spans="1:4" ht="20.25" customHeight="1" x14ac:dyDescent="0.3">
      <c r="A548" s="15" t="s">
        <v>894</v>
      </c>
      <c r="B548" s="20" t="s">
        <v>893</v>
      </c>
      <c r="C548" s="40" t="s">
        <v>860</v>
      </c>
      <c r="D548" s="14">
        <v>50.571975465919998</v>
      </c>
    </row>
    <row r="549" spans="1:4" ht="20.25" customHeight="1" x14ac:dyDescent="0.3">
      <c r="A549" s="15" t="s">
        <v>895</v>
      </c>
      <c r="B549" s="20" t="s">
        <v>893</v>
      </c>
      <c r="C549" s="40" t="s">
        <v>860</v>
      </c>
      <c r="D549" s="27">
        <f>+D548</f>
        <v>50.571975465919998</v>
      </c>
    </row>
    <row r="550" spans="1:4" ht="17.399999999999999" x14ac:dyDescent="0.3">
      <c r="A550" s="15" t="s">
        <v>897</v>
      </c>
      <c r="B550" s="20" t="s">
        <v>896</v>
      </c>
      <c r="C550" s="40" t="s">
        <v>860</v>
      </c>
      <c r="D550" s="14">
        <v>86.350080537859981</v>
      </c>
    </row>
    <row r="551" spans="1:4" ht="17.399999999999999" x14ac:dyDescent="0.3">
      <c r="A551" s="15" t="s">
        <v>899</v>
      </c>
      <c r="B551" s="20" t="s">
        <v>898</v>
      </c>
      <c r="C551" s="40" t="s">
        <v>860</v>
      </c>
      <c r="D551" s="14">
        <v>140.10717077759995</v>
      </c>
    </row>
    <row r="552" spans="1:4" ht="17.399999999999999" x14ac:dyDescent="0.3">
      <c r="A552" s="15" t="s">
        <v>901</v>
      </c>
      <c r="B552" s="20" t="s">
        <v>900</v>
      </c>
      <c r="C552" s="40" t="s">
        <v>860</v>
      </c>
      <c r="D552" s="14">
        <v>83.586478500000013</v>
      </c>
    </row>
    <row r="553" spans="1:4" ht="17.399999999999999" x14ac:dyDescent="0.3">
      <c r="A553" s="15" t="s">
        <v>903</v>
      </c>
      <c r="B553" s="20" t="s">
        <v>902</v>
      </c>
      <c r="C553" s="40" t="s">
        <v>860</v>
      </c>
      <c r="D553" s="14">
        <v>83.984793924999977</v>
      </c>
    </row>
    <row r="554" spans="1:4" ht="20.25" customHeight="1" x14ac:dyDescent="0.3">
      <c r="A554" s="15" t="s">
        <v>905</v>
      </c>
      <c r="B554" s="20" t="s">
        <v>904</v>
      </c>
      <c r="C554" s="40" t="s">
        <v>860</v>
      </c>
      <c r="D554" s="19">
        <v>88.520556098680004</v>
      </c>
    </row>
    <row r="555" spans="1:4" ht="20.25" customHeight="1" x14ac:dyDescent="0.3">
      <c r="A555" s="15" t="s">
        <v>907</v>
      </c>
      <c r="B555" s="20" t="s">
        <v>906</v>
      </c>
      <c r="C555" s="40" t="s">
        <v>860</v>
      </c>
      <c r="D555" s="19">
        <v>88.779613226080002</v>
      </c>
    </row>
    <row r="556" spans="1:4" ht="20.25" customHeight="1" x14ac:dyDescent="0.3">
      <c r="A556" s="15" t="s">
        <v>909</v>
      </c>
      <c r="B556" s="20" t="s">
        <v>908</v>
      </c>
      <c r="C556" s="40" t="s">
        <v>860</v>
      </c>
      <c r="D556" s="27">
        <v>96.268979758139977</v>
      </c>
    </row>
    <row r="557" spans="1:4" ht="20.25" customHeight="1" x14ac:dyDescent="0.3">
      <c r="A557" s="15" t="s">
        <v>911</v>
      </c>
      <c r="B557" s="20" t="s">
        <v>910</v>
      </c>
      <c r="C557" s="40" t="s">
        <v>860</v>
      </c>
      <c r="D557" s="27">
        <v>96.554538467099988</v>
      </c>
    </row>
    <row r="558" spans="1:4" ht="20.25" customHeight="1" x14ac:dyDescent="0.3">
      <c r="A558" s="15" t="s">
        <v>913</v>
      </c>
      <c r="B558" s="20" t="s">
        <v>912</v>
      </c>
      <c r="C558" s="40" t="s">
        <v>860</v>
      </c>
      <c r="D558" s="14">
        <v>232.32266380096002</v>
      </c>
    </row>
    <row r="559" spans="1:4" ht="20.25" customHeight="1" x14ac:dyDescent="0.3">
      <c r="A559" s="15" t="s">
        <v>915</v>
      </c>
      <c r="B559" s="20" t="s">
        <v>914</v>
      </c>
      <c r="C559" s="40" t="s">
        <v>860</v>
      </c>
      <c r="D559" s="14">
        <v>179.81532996120001</v>
      </c>
    </row>
    <row r="560" spans="1:4" ht="17.399999999999999" x14ac:dyDescent="0.3">
      <c r="A560" s="15" t="s">
        <v>917</v>
      </c>
      <c r="B560" s="20" t="s">
        <v>916</v>
      </c>
      <c r="C560" s="40" t="s">
        <v>860</v>
      </c>
      <c r="D560" s="14">
        <v>190.67977900151996</v>
      </c>
    </row>
    <row r="561" spans="1:4" ht="17.399999999999999" x14ac:dyDescent="0.3">
      <c r="A561" s="15" t="s">
        <v>919</v>
      </c>
      <c r="B561" s="20" t="s">
        <v>918</v>
      </c>
      <c r="C561" s="40" t="s">
        <v>860</v>
      </c>
      <c r="D561" s="14">
        <v>194.80895169252</v>
      </c>
    </row>
    <row r="562" spans="1:4" ht="20.25" customHeight="1" x14ac:dyDescent="0.3">
      <c r="A562" s="15" t="s">
        <v>921</v>
      </c>
      <c r="B562" s="50" t="s">
        <v>920</v>
      </c>
      <c r="C562" s="40" t="s">
        <v>860</v>
      </c>
      <c r="D562" s="14">
        <v>184.68533899787997</v>
      </c>
    </row>
    <row r="563" spans="1:4" ht="20.25" customHeight="1" x14ac:dyDescent="0.3">
      <c r="A563" s="15" t="s">
        <v>923</v>
      </c>
      <c r="B563" s="20" t="s">
        <v>922</v>
      </c>
      <c r="C563" s="40" t="s">
        <v>860</v>
      </c>
      <c r="D563" s="16">
        <v>200.40611406683999</v>
      </c>
    </row>
    <row r="564" spans="1:4" ht="20.25" customHeight="1" x14ac:dyDescent="0.3">
      <c r="A564" s="15" t="s">
        <v>924</v>
      </c>
      <c r="B564" s="20" t="s">
        <v>922</v>
      </c>
      <c r="C564" s="40" t="s">
        <v>860</v>
      </c>
      <c r="D564" s="16">
        <v>196.89777873439996</v>
      </c>
    </row>
    <row r="565" spans="1:4" ht="20.25" customHeight="1" x14ac:dyDescent="0.3">
      <c r="A565" s="51" t="s">
        <v>926</v>
      </c>
      <c r="B565" s="20" t="s">
        <v>925</v>
      </c>
      <c r="C565" s="40" t="s">
        <v>860</v>
      </c>
      <c r="D565" s="35">
        <v>57.249824966090003</v>
      </c>
    </row>
    <row r="566" spans="1:4" ht="20.25" customHeight="1" x14ac:dyDescent="0.3">
      <c r="A566" s="15" t="s">
        <v>928</v>
      </c>
      <c r="B566" s="20" t="s">
        <v>927</v>
      </c>
      <c r="C566" s="40" t="s">
        <v>860</v>
      </c>
      <c r="D566" s="14">
        <v>51.412126590770001</v>
      </c>
    </row>
    <row r="567" spans="1:4" ht="20.25" customHeight="1" x14ac:dyDescent="0.3">
      <c r="A567" s="15" t="s">
        <v>930</v>
      </c>
      <c r="B567" s="20" t="s">
        <v>929</v>
      </c>
      <c r="C567" s="40" t="s">
        <v>860</v>
      </c>
      <c r="D567" s="14">
        <v>2.2726190557699995</v>
      </c>
    </row>
    <row r="568" spans="1:4" ht="20.25" customHeight="1" x14ac:dyDescent="0.3">
      <c r="A568" s="15" t="s">
        <v>932</v>
      </c>
      <c r="B568" s="20" t="s">
        <v>931</v>
      </c>
      <c r="C568" s="40" t="s">
        <v>860</v>
      </c>
      <c r="D568" s="52">
        <v>54.685693137599998</v>
      </c>
    </row>
    <row r="569" spans="1:4" ht="20.25" customHeight="1" x14ac:dyDescent="0.3">
      <c r="A569" s="46" t="s">
        <v>934</v>
      </c>
      <c r="B569" s="20" t="s">
        <v>933</v>
      </c>
      <c r="C569" s="40" t="s">
        <v>860</v>
      </c>
      <c r="D569" s="52">
        <v>54.685693137599998</v>
      </c>
    </row>
    <row r="570" spans="1:4" ht="20.25" customHeight="1" x14ac:dyDescent="0.3">
      <c r="A570" s="15" t="s">
        <v>936</v>
      </c>
      <c r="B570" s="20" t="s">
        <v>935</v>
      </c>
      <c r="C570" s="40" t="s">
        <v>860</v>
      </c>
      <c r="D570" s="52">
        <v>50.48077469759999</v>
      </c>
    </row>
    <row r="571" spans="1:4" ht="20.25" customHeight="1" x14ac:dyDescent="0.3">
      <c r="A571" s="15" t="s">
        <v>938</v>
      </c>
      <c r="B571" s="20" t="s">
        <v>937</v>
      </c>
      <c r="C571" s="40" t="s">
        <v>860</v>
      </c>
      <c r="D571" s="52">
        <v>50.48077469759999</v>
      </c>
    </row>
    <row r="572" spans="1:4" ht="17.399999999999999" x14ac:dyDescent="0.3">
      <c r="A572" s="15" t="s">
        <v>940</v>
      </c>
      <c r="B572" s="20" t="s">
        <v>939</v>
      </c>
      <c r="C572" s="40" t="s">
        <v>860</v>
      </c>
      <c r="D572" s="14">
        <v>116.8881645215</v>
      </c>
    </row>
    <row r="573" spans="1:4" ht="17.399999999999999" x14ac:dyDescent="0.3">
      <c r="A573" s="15" t="s">
        <v>942</v>
      </c>
      <c r="B573" s="20" t="s">
        <v>941</v>
      </c>
      <c r="C573" s="40" t="s">
        <v>860</v>
      </c>
      <c r="D573" s="14">
        <v>66.537232101940006</v>
      </c>
    </row>
    <row r="574" spans="1:4" ht="17.399999999999999" x14ac:dyDescent="0.3">
      <c r="A574" s="15" t="s">
        <v>943</v>
      </c>
      <c r="B574" s="20" t="s">
        <v>941</v>
      </c>
      <c r="C574" s="40" t="s">
        <v>860</v>
      </c>
      <c r="D574" s="22">
        <v>67.388847561939997</v>
      </c>
    </row>
    <row r="575" spans="1:4" ht="17.399999999999999" x14ac:dyDescent="0.3">
      <c r="A575" s="15" t="s">
        <v>945</v>
      </c>
      <c r="B575" s="20" t="s">
        <v>944</v>
      </c>
      <c r="C575" s="40" t="s">
        <v>860</v>
      </c>
      <c r="D575" s="19">
        <v>70.046394445499999</v>
      </c>
    </row>
    <row r="576" spans="1:4" ht="17.399999999999999" x14ac:dyDescent="0.3">
      <c r="A576" s="15" t="s">
        <v>947</v>
      </c>
      <c r="B576" s="20" t="s">
        <v>946</v>
      </c>
      <c r="C576" s="40" t="s">
        <v>860</v>
      </c>
      <c r="D576" s="19">
        <v>70.902009905499995</v>
      </c>
    </row>
    <row r="577" spans="1:4" ht="17.399999999999999" x14ac:dyDescent="0.3">
      <c r="A577" s="15" t="s">
        <v>949</v>
      </c>
      <c r="B577" s="20" t="s">
        <v>948</v>
      </c>
      <c r="C577" s="40" t="s">
        <v>860</v>
      </c>
      <c r="D577" s="22">
        <v>120.20279114900001</v>
      </c>
    </row>
    <row r="578" spans="1:4" ht="17.399999999999999" x14ac:dyDescent="0.3">
      <c r="A578" s="15" t="s">
        <v>951</v>
      </c>
      <c r="B578" s="20" t="s">
        <v>950</v>
      </c>
      <c r="C578" s="40" t="s">
        <v>860</v>
      </c>
      <c r="D578" s="14">
        <v>93.215401692399993</v>
      </c>
    </row>
    <row r="579" spans="1:4" ht="20.25" customHeight="1" x14ac:dyDescent="0.3">
      <c r="A579" s="15" t="s">
        <v>952</v>
      </c>
      <c r="B579" s="20" t="s">
        <v>950</v>
      </c>
      <c r="C579" s="40" t="s">
        <v>860</v>
      </c>
      <c r="D579" s="14">
        <f>D578</f>
        <v>93.215401692399993</v>
      </c>
    </row>
    <row r="580" spans="1:4" ht="20.25" customHeight="1" x14ac:dyDescent="0.3">
      <c r="A580" s="15" t="s">
        <v>954</v>
      </c>
      <c r="B580" s="20" t="s">
        <v>953</v>
      </c>
      <c r="C580" s="40" t="s">
        <v>860</v>
      </c>
      <c r="D580" s="14">
        <v>31.089064530649996</v>
      </c>
    </row>
    <row r="581" spans="1:4" ht="17.399999999999999" x14ac:dyDescent="0.3">
      <c r="A581" s="15" t="s">
        <v>956</v>
      </c>
      <c r="B581" s="20" t="s">
        <v>955</v>
      </c>
      <c r="C581" s="40" t="s">
        <v>860</v>
      </c>
      <c r="D581" s="14">
        <v>31.480358762249999</v>
      </c>
    </row>
    <row r="582" spans="1:4" ht="20.25" customHeight="1" x14ac:dyDescent="0.3">
      <c r="A582" s="15" t="s">
        <v>958</v>
      </c>
      <c r="B582" s="20" t="s">
        <v>957</v>
      </c>
      <c r="C582" s="40" t="s">
        <v>860</v>
      </c>
      <c r="D582" s="14">
        <f>42.834+0.005</f>
        <v>42.839000000000006</v>
      </c>
    </row>
    <row r="583" spans="1:4" ht="20.25" customHeight="1" x14ac:dyDescent="0.3">
      <c r="A583" s="15" t="s">
        <v>960</v>
      </c>
      <c r="B583" s="20" t="s">
        <v>959</v>
      </c>
      <c r="C583" s="40" t="s">
        <v>860</v>
      </c>
      <c r="D583" s="16">
        <v>52.086226427999989</v>
      </c>
    </row>
    <row r="584" spans="1:4" ht="20.25" customHeight="1" x14ac:dyDescent="0.3">
      <c r="A584" s="15" t="s">
        <v>962</v>
      </c>
      <c r="B584" s="20" t="s">
        <v>961</v>
      </c>
      <c r="C584" s="40" t="s">
        <v>860</v>
      </c>
      <c r="D584" s="14">
        <v>94.853134785817559</v>
      </c>
    </row>
    <row r="585" spans="1:4" ht="20.25" customHeight="1" x14ac:dyDescent="0.3">
      <c r="A585" s="15" t="s">
        <v>964</v>
      </c>
      <c r="B585" s="20" t="s">
        <v>963</v>
      </c>
      <c r="C585" s="40" t="s">
        <v>860</v>
      </c>
      <c r="D585" s="14">
        <v>95.691125412529914</v>
      </c>
    </row>
    <row r="586" spans="1:4" ht="20.25" customHeight="1" x14ac:dyDescent="0.3">
      <c r="A586" s="15" t="s">
        <v>966</v>
      </c>
      <c r="B586" s="20" t="s">
        <v>965</v>
      </c>
      <c r="C586" s="40" t="s">
        <v>860</v>
      </c>
      <c r="D586" s="16">
        <v>76.570552142841322</v>
      </c>
    </row>
    <row r="587" spans="1:4" ht="20.25" customHeight="1" x14ac:dyDescent="0.3">
      <c r="A587" s="15" t="s">
        <v>968</v>
      </c>
      <c r="B587" s="20" t="s">
        <v>967</v>
      </c>
      <c r="C587" s="40" t="s">
        <v>860</v>
      </c>
      <c r="D587" s="16">
        <v>76.570552142841322</v>
      </c>
    </row>
    <row r="588" spans="1:4" ht="17.399999999999999" x14ac:dyDescent="0.3">
      <c r="A588" s="15" t="s">
        <v>970</v>
      </c>
      <c r="B588" s="20" t="s">
        <v>969</v>
      </c>
      <c r="C588" s="42" t="s">
        <v>860</v>
      </c>
      <c r="D588" s="16">
        <v>73.684245267860007</v>
      </c>
    </row>
    <row r="589" spans="1:4" ht="17.399999999999999" x14ac:dyDescent="0.3">
      <c r="A589" s="15" t="s">
        <v>972</v>
      </c>
      <c r="B589" s="20" t="s">
        <v>971</v>
      </c>
      <c r="C589" s="42" t="s">
        <v>860</v>
      </c>
      <c r="D589" s="16">
        <v>74.135342462640011</v>
      </c>
    </row>
    <row r="590" spans="1:4" ht="20.25" customHeight="1" x14ac:dyDescent="0.3">
      <c r="A590" s="15" t="s">
        <v>974</v>
      </c>
      <c r="B590" s="20" t="s">
        <v>973</v>
      </c>
      <c r="C590" s="42" t="s">
        <v>860</v>
      </c>
      <c r="D590" s="16">
        <v>69.619858025550002</v>
      </c>
    </row>
    <row r="591" spans="1:4" ht="20.25" customHeight="1" x14ac:dyDescent="0.3">
      <c r="A591" s="15" t="s">
        <v>976</v>
      </c>
      <c r="B591" s="20" t="s">
        <v>975</v>
      </c>
      <c r="C591" s="42" t="s">
        <v>860</v>
      </c>
      <c r="D591" s="16">
        <v>121.89353193607765</v>
      </c>
    </row>
    <row r="592" spans="1:4" ht="17.399999999999999" x14ac:dyDescent="0.3">
      <c r="A592" s="15" t="s">
        <v>978</v>
      </c>
      <c r="B592" s="20" t="s">
        <v>977</v>
      </c>
      <c r="C592" s="40" t="s">
        <v>860</v>
      </c>
      <c r="D592" s="16">
        <v>76.863199399165651</v>
      </c>
    </row>
    <row r="593" spans="1:4" ht="20.25" customHeight="1" x14ac:dyDescent="0.3">
      <c r="A593" s="15" t="s">
        <v>980</v>
      </c>
      <c r="B593" s="20" t="s">
        <v>979</v>
      </c>
      <c r="C593" s="40" t="s">
        <v>860</v>
      </c>
      <c r="D593" s="16">
        <v>69.326174492799993</v>
      </c>
    </row>
    <row r="594" spans="1:4" ht="20.25" customHeight="1" x14ac:dyDescent="0.3">
      <c r="A594" s="15" t="s">
        <v>982</v>
      </c>
      <c r="B594" s="20" t="s">
        <v>981</v>
      </c>
      <c r="C594" s="40" t="s">
        <v>860</v>
      </c>
      <c r="D594" s="16">
        <v>122.98156138204419</v>
      </c>
    </row>
    <row r="595" spans="1:4" ht="20.25" customHeight="1" x14ac:dyDescent="0.3">
      <c r="A595" s="15" t="s">
        <v>984</v>
      </c>
      <c r="B595" s="20" t="s">
        <v>983</v>
      </c>
      <c r="C595" s="40" t="s">
        <v>860</v>
      </c>
      <c r="D595" s="16">
        <v>87.341946987759982</v>
      </c>
    </row>
    <row r="596" spans="1:4" ht="20.25" customHeight="1" x14ac:dyDescent="0.3">
      <c r="A596" s="15" t="s">
        <v>986</v>
      </c>
      <c r="B596" s="20" t="s">
        <v>985</v>
      </c>
      <c r="C596" s="40" t="s">
        <v>860</v>
      </c>
      <c r="D596" s="16">
        <v>76.817136132019996</v>
      </c>
    </row>
    <row r="597" spans="1:4" ht="17.399999999999999" x14ac:dyDescent="0.3">
      <c r="A597" s="15" t="s">
        <v>988</v>
      </c>
      <c r="B597" s="20" t="s">
        <v>987</v>
      </c>
      <c r="C597" s="40" t="s">
        <v>860</v>
      </c>
      <c r="D597" s="16">
        <v>99.134566847740004</v>
      </c>
    </row>
    <row r="598" spans="1:4" ht="17.399999999999999" x14ac:dyDescent="0.3">
      <c r="A598" s="55" t="s">
        <v>990</v>
      </c>
      <c r="B598" s="54" t="s">
        <v>989</v>
      </c>
      <c r="C598" s="53" t="s">
        <v>860</v>
      </c>
      <c r="D598" s="16">
        <v>99.124566847739999</v>
      </c>
    </row>
    <row r="599" spans="1:4" ht="17.399999999999999" x14ac:dyDescent="0.3">
      <c r="A599" s="55" t="s">
        <v>991</v>
      </c>
      <c r="B599" s="54" t="s">
        <v>987</v>
      </c>
      <c r="C599" s="53" t="s">
        <v>860</v>
      </c>
      <c r="D599" s="16">
        <v>76.853064300899987</v>
      </c>
    </row>
    <row r="600" spans="1:4" ht="17.399999999999999" x14ac:dyDescent="0.3">
      <c r="A600" s="55" t="s">
        <v>992</v>
      </c>
      <c r="B600" s="54" t="s">
        <v>987</v>
      </c>
      <c r="C600" s="53" t="s">
        <v>860</v>
      </c>
      <c r="D600" s="16">
        <v>75.115766783940003</v>
      </c>
    </row>
    <row r="601" spans="1:4" ht="17.399999999999999" x14ac:dyDescent="0.3">
      <c r="A601" s="55" t="s">
        <v>993</v>
      </c>
      <c r="B601" s="54" t="s">
        <v>987</v>
      </c>
      <c r="C601" s="53" t="s">
        <v>860</v>
      </c>
      <c r="D601" s="19">
        <v>140.59935236948621</v>
      </c>
    </row>
    <row r="602" spans="1:4" ht="17.399999999999999" x14ac:dyDescent="0.3">
      <c r="A602" s="55" t="s">
        <v>995</v>
      </c>
      <c r="B602" s="54" t="s">
        <v>994</v>
      </c>
      <c r="C602" s="53" t="s">
        <v>860</v>
      </c>
      <c r="D602" s="19">
        <v>196.52233974734159</v>
      </c>
    </row>
    <row r="603" spans="1:4" ht="17.399999999999999" x14ac:dyDescent="0.3">
      <c r="A603" s="55" t="s">
        <v>997</v>
      </c>
      <c r="B603" s="54" t="s">
        <v>996</v>
      </c>
      <c r="C603" s="53" t="s">
        <v>860</v>
      </c>
      <c r="D603" s="16">
        <v>96.83182915099998</v>
      </c>
    </row>
    <row r="604" spans="1:4" ht="17.399999999999999" x14ac:dyDescent="0.3">
      <c r="A604" s="55" t="s">
        <v>999</v>
      </c>
      <c r="B604" s="54" t="s">
        <v>998</v>
      </c>
      <c r="C604" s="53" t="s">
        <v>860</v>
      </c>
      <c r="D604" s="16">
        <v>97.693339332999983</v>
      </c>
    </row>
    <row r="605" spans="1:4" ht="17.399999999999999" x14ac:dyDescent="0.3">
      <c r="A605" s="55" t="s">
        <v>1001</v>
      </c>
      <c r="B605" s="54" t="s">
        <v>1000</v>
      </c>
      <c r="C605" s="53" t="s">
        <v>860</v>
      </c>
      <c r="D605" s="16">
        <v>91.456005615319981</v>
      </c>
    </row>
    <row r="606" spans="1:4" ht="17.399999999999999" x14ac:dyDescent="0.3">
      <c r="A606" s="55" t="s">
        <v>1003</v>
      </c>
      <c r="B606" s="54" t="s">
        <v>1002</v>
      </c>
      <c r="C606" s="53" t="s">
        <v>860</v>
      </c>
      <c r="D606" s="16">
        <v>93.661471681239988</v>
      </c>
    </row>
    <row r="607" spans="1:4" ht="20.25" customHeight="1" x14ac:dyDescent="0.3">
      <c r="A607" s="48" t="s">
        <v>1005</v>
      </c>
      <c r="B607" s="33" t="s">
        <v>1004</v>
      </c>
      <c r="C607" s="47" t="s">
        <v>860</v>
      </c>
      <c r="D607" s="37">
        <v>94.001852303319978</v>
      </c>
    </row>
    <row r="608" spans="1:4" ht="20.25" customHeight="1" x14ac:dyDescent="0.3">
      <c r="A608" s="48" t="s">
        <v>1007</v>
      </c>
      <c r="B608" s="33" t="s">
        <v>1006</v>
      </c>
      <c r="C608" s="47" t="s">
        <v>860</v>
      </c>
      <c r="D608" s="37">
        <v>92.811525158400002</v>
      </c>
    </row>
    <row r="609" spans="1:4" ht="20.25" customHeight="1" x14ac:dyDescent="0.3">
      <c r="A609" s="48" t="s">
        <v>1009</v>
      </c>
      <c r="B609" s="33" t="s">
        <v>1008</v>
      </c>
      <c r="C609" s="47" t="s">
        <v>860</v>
      </c>
      <c r="D609" s="37">
        <v>96.058385292999986</v>
      </c>
    </row>
    <row r="610" spans="1:4" ht="17.399999999999999" x14ac:dyDescent="0.3">
      <c r="A610" s="15" t="s">
        <v>1011</v>
      </c>
      <c r="B610" s="20" t="s">
        <v>1010</v>
      </c>
      <c r="C610" s="40" t="s">
        <v>860</v>
      </c>
      <c r="D610" s="16">
        <v>99.939779124999987</v>
      </c>
    </row>
    <row r="611" spans="1:4" ht="17.399999999999999" x14ac:dyDescent="0.3">
      <c r="A611" s="15" t="s">
        <v>1013</v>
      </c>
      <c r="B611" s="20" t="s">
        <v>1012</v>
      </c>
      <c r="C611" s="40" t="s">
        <v>860</v>
      </c>
      <c r="D611" s="16">
        <v>120.63989495567998</v>
      </c>
    </row>
    <row r="612" spans="1:4" ht="17.399999999999999" x14ac:dyDescent="0.3">
      <c r="A612" s="15" t="s">
        <v>1015</v>
      </c>
      <c r="B612" s="20" t="s">
        <v>1014</v>
      </c>
      <c r="C612" s="40" t="s">
        <v>860</v>
      </c>
      <c r="D612" s="16">
        <v>118.47595221835998</v>
      </c>
    </row>
    <row r="613" spans="1:4" ht="17.399999999999999" x14ac:dyDescent="0.3">
      <c r="A613" s="15" t="s">
        <v>1017</v>
      </c>
      <c r="B613" s="20" t="s">
        <v>1016</v>
      </c>
      <c r="C613" s="40" t="s">
        <v>860</v>
      </c>
      <c r="D613" s="16">
        <v>190.01850404472</v>
      </c>
    </row>
    <row r="614" spans="1:4" ht="17.399999999999999" x14ac:dyDescent="0.3">
      <c r="A614" s="15" t="s">
        <v>1019</v>
      </c>
      <c r="B614" s="20" t="s">
        <v>1018</v>
      </c>
      <c r="C614" s="40" t="s">
        <v>860</v>
      </c>
      <c r="D614" s="16">
        <v>185.94033995664</v>
      </c>
    </row>
    <row r="615" spans="1:4" ht="20.25" customHeight="1" x14ac:dyDescent="0.3">
      <c r="A615" s="15" t="s">
        <v>1021</v>
      </c>
      <c r="B615" s="20" t="s">
        <v>1020</v>
      </c>
      <c r="C615" s="40" t="s">
        <v>860</v>
      </c>
      <c r="D615" s="16">
        <v>191.98102051715998</v>
      </c>
    </row>
    <row r="616" spans="1:4" ht="17.399999999999999" x14ac:dyDescent="0.3">
      <c r="A616" s="15" t="s">
        <v>1023</v>
      </c>
      <c r="B616" s="20" t="s">
        <v>1022</v>
      </c>
      <c r="C616" s="40" t="s">
        <v>860</v>
      </c>
      <c r="D616" s="16">
        <v>114.00950405213489</v>
      </c>
    </row>
    <row r="617" spans="1:4" ht="20.25" customHeight="1" x14ac:dyDescent="0.3">
      <c r="A617" s="15" t="s">
        <v>1025</v>
      </c>
      <c r="B617" s="20" t="s">
        <v>1024</v>
      </c>
      <c r="C617" s="40" t="s">
        <v>860</v>
      </c>
      <c r="D617" s="16">
        <v>111.11964744901454</v>
      </c>
    </row>
    <row r="618" spans="1:4" ht="20.25" customHeight="1" x14ac:dyDescent="0.3">
      <c r="A618" s="15" t="s">
        <v>1027</v>
      </c>
      <c r="B618" s="20" t="s">
        <v>1026</v>
      </c>
      <c r="C618" s="40" t="s">
        <v>860</v>
      </c>
      <c r="D618" s="16">
        <v>82.687187321540165</v>
      </c>
    </row>
    <row r="619" spans="1:4" ht="20.25" customHeight="1" x14ac:dyDescent="0.3">
      <c r="A619" s="15" t="s">
        <v>1029</v>
      </c>
      <c r="B619" s="20" t="s">
        <v>1028</v>
      </c>
      <c r="C619" s="42" t="s">
        <v>860</v>
      </c>
      <c r="D619" s="16">
        <v>51.17322476759999</v>
      </c>
    </row>
    <row r="620" spans="1:4" ht="20.25" customHeight="1" x14ac:dyDescent="0.3">
      <c r="A620" s="15" t="s">
        <v>1031</v>
      </c>
      <c r="B620" s="20" t="s">
        <v>1030</v>
      </c>
      <c r="C620" s="42" t="s">
        <v>860</v>
      </c>
      <c r="D620" s="16">
        <v>51.17322476759999</v>
      </c>
    </row>
    <row r="621" spans="1:4" ht="20.25" customHeight="1" x14ac:dyDescent="0.3">
      <c r="A621" s="15" t="s">
        <v>1033</v>
      </c>
      <c r="B621" s="20" t="s">
        <v>1032</v>
      </c>
      <c r="C621" s="42" t="s">
        <v>860</v>
      </c>
      <c r="D621" s="16">
        <v>46.575257015999995</v>
      </c>
    </row>
    <row r="622" spans="1:4" ht="20.25" customHeight="1" x14ac:dyDescent="0.3">
      <c r="A622" s="15" t="s">
        <v>1035</v>
      </c>
      <c r="B622" s="20" t="s">
        <v>1034</v>
      </c>
      <c r="C622" s="42" t="s">
        <v>860</v>
      </c>
      <c r="D622" s="16">
        <v>46.575257015999995</v>
      </c>
    </row>
    <row r="623" spans="1:4" ht="20.25" customHeight="1" x14ac:dyDescent="0.3">
      <c r="A623" s="15" t="s">
        <v>1037</v>
      </c>
      <c r="B623" s="20" t="s">
        <v>1036</v>
      </c>
      <c r="C623" s="42" t="s">
        <v>860</v>
      </c>
      <c r="D623" s="16">
        <v>48.347655057499985</v>
      </c>
    </row>
    <row r="624" spans="1:4" ht="20.25" customHeight="1" x14ac:dyDescent="0.3">
      <c r="A624" s="15" t="s">
        <v>1039</v>
      </c>
      <c r="B624" s="20" t="s">
        <v>1038</v>
      </c>
      <c r="C624" s="42" t="s">
        <v>860</v>
      </c>
      <c r="D624" s="16">
        <v>48.347655057499985</v>
      </c>
    </row>
    <row r="625" spans="1:4" ht="20.25" customHeight="1" x14ac:dyDescent="0.3">
      <c r="A625" s="15" t="s">
        <v>1041</v>
      </c>
      <c r="B625" s="20" t="s">
        <v>1040</v>
      </c>
      <c r="C625" s="42" t="s">
        <v>860</v>
      </c>
      <c r="D625" s="16">
        <v>106.78781366784001</v>
      </c>
    </row>
    <row r="626" spans="1:4" ht="20.25" customHeight="1" x14ac:dyDescent="0.3">
      <c r="A626" s="15" t="s">
        <v>1043</v>
      </c>
      <c r="B626" s="20" t="s">
        <v>1042</v>
      </c>
      <c r="C626" s="42" t="s">
        <v>860</v>
      </c>
      <c r="D626" s="16">
        <v>82.68290701488003</v>
      </c>
    </row>
    <row r="627" spans="1:4" ht="20.25" customHeight="1" x14ac:dyDescent="0.3">
      <c r="A627" s="57" t="s">
        <v>1045</v>
      </c>
      <c r="B627" s="56" t="s">
        <v>1044</v>
      </c>
      <c r="C627" s="42" t="s">
        <v>860</v>
      </c>
      <c r="D627" s="58">
        <v>119.13358837520795</v>
      </c>
    </row>
    <row r="628" spans="1:4" ht="20.25" customHeight="1" x14ac:dyDescent="0.3">
      <c r="A628" s="57" t="s">
        <v>1047</v>
      </c>
      <c r="B628" s="56" t="s">
        <v>1046</v>
      </c>
      <c r="C628" s="42" t="s">
        <v>860</v>
      </c>
      <c r="D628" s="58">
        <v>198.1403190616</v>
      </c>
    </row>
    <row r="629" spans="1:4" ht="20.25" customHeight="1" x14ac:dyDescent="0.3">
      <c r="A629" s="57" t="s">
        <v>1049</v>
      </c>
      <c r="B629" s="56" t="s">
        <v>1048</v>
      </c>
      <c r="C629" s="42" t="s">
        <v>860</v>
      </c>
      <c r="D629" s="58">
        <v>186.1536598211558</v>
      </c>
    </row>
    <row r="630" spans="1:4" ht="20.25" customHeight="1" x14ac:dyDescent="0.3">
      <c r="A630" s="57" t="s">
        <v>1051</v>
      </c>
      <c r="B630" s="56" t="s">
        <v>1050</v>
      </c>
      <c r="C630" s="42" t="s">
        <v>860</v>
      </c>
      <c r="D630" s="58">
        <v>202.40760319747579</v>
      </c>
    </row>
    <row r="631" spans="1:4" ht="20.25" customHeight="1" x14ac:dyDescent="0.3">
      <c r="A631" s="57" t="s">
        <v>1053</v>
      </c>
      <c r="B631" s="56" t="s">
        <v>1052</v>
      </c>
      <c r="C631" s="42" t="s">
        <v>860</v>
      </c>
      <c r="D631" s="58">
        <v>89.969984651560011</v>
      </c>
    </row>
    <row r="632" spans="1:4" ht="20.25" customHeight="1" x14ac:dyDescent="0.3">
      <c r="A632" s="57" t="s">
        <v>1055</v>
      </c>
      <c r="B632" s="56" t="s">
        <v>1054</v>
      </c>
      <c r="C632" s="42" t="s">
        <v>860</v>
      </c>
      <c r="D632" s="58">
        <v>90.538581371679996</v>
      </c>
    </row>
    <row r="633" spans="1:4" ht="20.25" customHeight="1" x14ac:dyDescent="0.3">
      <c r="A633" s="57" t="s">
        <v>1057</v>
      </c>
      <c r="B633" s="56" t="s">
        <v>1056</v>
      </c>
      <c r="C633" s="42" t="s">
        <v>860</v>
      </c>
      <c r="D633" s="58">
        <v>117.7306677788058</v>
      </c>
    </row>
    <row r="634" spans="1:4" ht="20.25" customHeight="1" x14ac:dyDescent="0.3">
      <c r="A634" s="57" t="s">
        <v>1059</v>
      </c>
      <c r="B634" s="56" t="s">
        <v>1058</v>
      </c>
      <c r="C634" s="42" t="s">
        <v>860</v>
      </c>
      <c r="D634" s="58">
        <v>95.041803278239996</v>
      </c>
    </row>
    <row r="635" spans="1:4" ht="20.25" customHeight="1" x14ac:dyDescent="0.3">
      <c r="A635" s="57" t="s">
        <v>1062</v>
      </c>
      <c r="B635" s="56" t="s">
        <v>1061</v>
      </c>
      <c r="C635" s="42" t="s">
        <v>1060</v>
      </c>
      <c r="D635" s="58">
        <v>104.81800304447998</v>
      </c>
    </row>
    <row r="636" spans="1:4" ht="20.25" customHeight="1" x14ac:dyDescent="0.3">
      <c r="A636" s="57" t="s">
        <v>1064</v>
      </c>
      <c r="B636" s="56" t="s">
        <v>1063</v>
      </c>
      <c r="C636" s="42" t="s">
        <v>1060</v>
      </c>
      <c r="D636" s="58">
        <v>106.37652989267998</v>
      </c>
    </row>
    <row r="637" spans="1:4" ht="20.25" customHeight="1" x14ac:dyDescent="0.3">
      <c r="A637" s="57" t="s">
        <v>1067</v>
      </c>
      <c r="B637" s="56" t="s">
        <v>1066</v>
      </c>
      <c r="C637" s="42" t="s">
        <v>1065</v>
      </c>
      <c r="D637" s="58">
        <v>5.7024262019999981</v>
      </c>
    </row>
    <row r="638" spans="1:4" ht="20.25" customHeight="1" x14ac:dyDescent="0.3">
      <c r="A638" s="57" t="s">
        <v>1069</v>
      </c>
      <c r="B638" s="56" t="s">
        <v>1068</v>
      </c>
      <c r="C638" s="42" t="s">
        <v>1065</v>
      </c>
      <c r="D638" s="58">
        <v>8.1103635122399975</v>
      </c>
    </row>
    <row r="639" spans="1:4" ht="20.25" customHeight="1" x14ac:dyDescent="0.3">
      <c r="A639" s="57">
        <v>543103001</v>
      </c>
      <c r="B639" s="56" t="s">
        <v>1070</v>
      </c>
      <c r="C639" s="42" t="s">
        <v>1065</v>
      </c>
      <c r="D639" s="58">
        <v>8.5595693625599978</v>
      </c>
    </row>
    <row r="640" spans="1:4" ht="20.25" customHeight="1" x14ac:dyDescent="0.3">
      <c r="A640" s="57" t="s">
        <v>1073</v>
      </c>
      <c r="B640" s="56" t="s">
        <v>1072</v>
      </c>
      <c r="C640" s="42" t="s">
        <v>1071</v>
      </c>
      <c r="D640" s="58">
        <v>23.253905887679995</v>
      </c>
    </row>
    <row r="641" spans="1:4" ht="20.25" customHeight="1" x14ac:dyDescent="0.3">
      <c r="A641" s="57" t="s">
        <v>1075</v>
      </c>
      <c r="B641" s="56" t="s">
        <v>1074</v>
      </c>
      <c r="C641" s="42" t="s">
        <v>1071</v>
      </c>
      <c r="D641" s="58">
        <v>25.18012188458</v>
      </c>
    </row>
    <row r="642" spans="1:4" ht="20.25" customHeight="1" x14ac:dyDescent="0.3">
      <c r="A642" s="57" t="s">
        <v>1078</v>
      </c>
      <c r="B642" s="56" t="s">
        <v>1077</v>
      </c>
      <c r="C642" s="42" t="s">
        <v>1076</v>
      </c>
      <c r="D642" s="35">
        <v>8.5509738843599994</v>
      </c>
    </row>
    <row r="643" spans="1:4" ht="20.25" customHeight="1" x14ac:dyDescent="0.3">
      <c r="A643" s="57" t="s">
        <v>1081</v>
      </c>
      <c r="B643" s="56" t="s">
        <v>1080</v>
      </c>
      <c r="C643" s="42" t="s">
        <v>1079</v>
      </c>
      <c r="D643" s="58">
        <v>18.114238888320003</v>
      </c>
    </row>
    <row r="644" spans="1:4" ht="20.25" customHeight="1" x14ac:dyDescent="0.3">
      <c r="A644" s="57" t="s">
        <v>1083</v>
      </c>
      <c r="B644" s="56" t="s">
        <v>1082</v>
      </c>
      <c r="C644" s="42" t="s">
        <v>1079</v>
      </c>
      <c r="D644" s="58">
        <v>29.20041783093</v>
      </c>
    </row>
    <row r="645" spans="1:4" ht="20.25" customHeight="1" x14ac:dyDescent="0.3">
      <c r="A645" s="15" t="s">
        <v>1086</v>
      </c>
      <c r="B645" s="20" t="s">
        <v>1085</v>
      </c>
      <c r="C645" s="40" t="s">
        <v>1084</v>
      </c>
      <c r="D645" s="16">
        <v>78.907044607089915</v>
      </c>
    </row>
    <row r="646" spans="1:4" ht="20.25" customHeight="1" x14ac:dyDescent="0.3">
      <c r="A646" s="15">
        <v>3512</v>
      </c>
      <c r="B646" s="20" t="s">
        <v>1087</v>
      </c>
      <c r="C646" s="40" t="s">
        <v>1084</v>
      </c>
      <c r="D646" s="16">
        <v>83.459151011840007</v>
      </c>
    </row>
    <row r="647" spans="1:4" ht="20.25" customHeight="1" x14ac:dyDescent="0.3">
      <c r="A647" s="15">
        <v>951350100</v>
      </c>
      <c r="B647" s="20" t="s">
        <v>1088</v>
      </c>
      <c r="C647" s="40" t="s">
        <v>1084</v>
      </c>
      <c r="D647" s="16">
        <v>69.882893289248912</v>
      </c>
    </row>
    <row r="648" spans="1:4" ht="20.25" customHeight="1" x14ac:dyDescent="0.3">
      <c r="A648" s="15" t="s">
        <v>1090</v>
      </c>
      <c r="B648" s="20" t="s">
        <v>1089</v>
      </c>
      <c r="C648" s="40" t="s">
        <v>1084</v>
      </c>
      <c r="D648" s="16">
        <v>63.238185457469505</v>
      </c>
    </row>
    <row r="649" spans="1:4" ht="20.25" customHeight="1" x14ac:dyDescent="0.3">
      <c r="A649" s="15" t="s">
        <v>1092</v>
      </c>
      <c r="B649" s="20" t="s">
        <v>1091</v>
      </c>
      <c r="C649" s="40" t="s">
        <v>1084</v>
      </c>
      <c r="D649" s="16">
        <v>91.305338945079995</v>
      </c>
    </row>
    <row r="650" spans="1:4" ht="20.25" customHeight="1" x14ac:dyDescent="0.3">
      <c r="A650" s="15">
        <v>79002</v>
      </c>
      <c r="B650" s="20" t="s">
        <v>1093</v>
      </c>
      <c r="C650" s="40" t="s">
        <v>1084</v>
      </c>
      <c r="D650" s="16">
        <v>175.24593309894004</v>
      </c>
    </row>
    <row r="651" spans="1:4" ht="20.25" customHeight="1" x14ac:dyDescent="0.3">
      <c r="A651" s="15" t="s">
        <v>1095</v>
      </c>
      <c r="B651" s="20" t="s">
        <v>1094</v>
      </c>
      <c r="C651" s="40" t="s">
        <v>1084</v>
      </c>
      <c r="D651" s="16">
        <v>77.204016385999765</v>
      </c>
    </row>
    <row r="652" spans="1:4" ht="20.25" customHeight="1" x14ac:dyDescent="0.3">
      <c r="A652" s="15" t="s">
        <v>1097</v>
      </c>
      <c r="B652" s="20" t="s">
        <v>1096</v>
      </c>
      <c r="C652" s="40" t="s">
        <v>1084</v>
      </c>
      <c r="D652" s="16">
        <v>91.984068637500002</v>
      </c>
    </row>
    <row r="653" spans="1:4" ht="20.25" customHeight="1" x14ac:dyDescent="0.3">
      <c r="A653" s="15">
        <v>52069</v>
      </c>
      <c r="B653" s="20" t="s">
        <v>1098</v>
      </c>
      <c r="C653" s="40" t="s">
        <v>1084</v>
      </c>
      <c r="D653" s="16">
        <v>8.0385240299999978</v>
      </c>
    </row>
    <row r="654" spans="1:4" ht="20.25" customHeight="1" x14ac:dyDescent="0.3">
      <c r="A654" s="15">
        <v>80000474</v>
      </c>
      <c r="B654" s="20" t="s">
        <v>1099</v>
      </c>
      <c r="C654" s="40" t="s">
        <v>1084</v>
      </c>
      <c r="D654" s="16">
        <v>55.115135276850005</v>
      </c>
    </row>
    <row r="655" spans="1:4" ht="20.25" customHeight="1" x14ac:dyDescent="0.3">
      <c r="A655" s="15">
        <v>80007846</v>
      </c>
      <c r="B655" s="20" t="s">
        <v>1100</v>
      </c>
      <c r="C655" s="40" t="s">
        <v>1084</v>
      </c>
      <c r="D655" s="16">
        <v>28.724376650419995</v>
      </c>
    </row>
    <row r="656" spans="1:4" ht="20.25" customHeight="1" x14ac:dyDescent="0.3">
      <c r="A656" s="15">
        <v>80014501</v>
      </c>
      <c r="B656" s="20" t="s">
        <v>1101</v>
      </c>
      <c r="C656" s="40" t="s">
        <v>1084</v>
      </c>
      <c r="D656" s="16">
        <v>61.905141844424996</v>
      </c>
    </row>
    <row r="657" spans="1:4" ht="20.25" customHeight="1" x14ac:dyDescent="0.3">
      <c r="A657" s="15" t="s">
        <v>1103</v>
      </c>
      <c r="B657" s="20" t="s">
        <v>1102</v>
      </c>
      <c r="C657" s="40" t="s">
        <v>1084</v>
      </c>
      <c r="D657" s="16">
        <v>86.451689584520011</v>
      </c>
    </row>
    <row r="658" spans="1:4" ht="20.25" customHeight="1" x14ac:dyDescent="0.3">
      <c r="A658" s="15">
        <v>91019000200</v>
      </c>
      <c r="B658" s="20" t="s">
        <v>1104</v>
      </c>
      <c r="C658" s="40" t="s">
        <v>1084</v>
      </c>
      <c r="D658" s="16">
        <v>77.859689994239986</v>
      </c>
    </row>
    <row r="659" spans="1:4" ht="20.25" customHeight="1" x14ac:dyDescent="0.3">
      <c r="A659" s="15">
        <v>91019001200</v>
      </c>
      <c r="B659" s="20" t="s">
        <v>1105</v>
      </c>
      <c r="C659" s="40" t="s">
        <v>1084</v>
      </c>
      <c r="D659" s="16">
        <v>87.329846394879993</v>
      </c>
    </row>
    <row r="660" spans="1:4" ht="20.25" customHeight="1" x14ac:dyDescent="0.3">
      <c r="A660" s="15">
        <v>2689200</v>
      </c>
      <c r="B660" s="20" t="s">
        <v>1106</v>
      </c>
      <c r="C660" s="40" t="s">
        <v>1084</v>
      </c>
      <c r="D660" s="16">
        <v>113.66986490879999</v>
      </c>
    </row>
    <row r="661" spans="1:4" ht="20.25" customHeight="1" x14ac:dyDescent="0.3">
      <c r="A661" s="15">
        <v>2690200</v>
      </c>
      <c r="B661" s="20" t="s">
        <v>1091</v>
      </c>
      <c r="C661" s="40" t="s">
        <v>1084</v>
      </c>
      <c r="D661" s="16">
        <v>117.80506303999998</v>
      </c>
    </row>
    <row r="662" spans="1:4" ht="20.25" customHeight="1" x14ac:dyDescent="0.3">
      <c r="A662" s="15" t="s">
        <v>1108</v>
      </c>
      <c r="B662" s="20" t="s">
        <v>1107</v>
      </c>
      <c r="C662" s="40" t="s">
        <v>1084</v>
      </c>
      <c r="D662" s="16">
        <v>4.5047726395200005</v>
      </c>
    </row>
    <row r="663" spans="1:4" ht="20.25" customHeight="1" x14ac:dyDescent="0.3">
      <c r="A663" s="15" t="s">
        <v>1110</v>
      </c>
      <c r="B663" s="20" t="s">
        <v>1109</v>
      </c>
      <c r="C663" s="40" t="s">
        <v>1084</v>
      </c>
      <c r="D663" s="16">
        <v>23.207264289999998</v>
      </c>
    </row>
    <row r="664" spans="1:4" ht="20.25" customHeight="1" x14ac:dyDescent="0.3">
      <c r="A664" s="15" t="s">
        <v>1112</v>
      </c>
      <c r="B664" s="20" t="s">
        <v>1111</v>
      </c>
      <c r="C664" s="40" t="s">
        <v>1084</v>
      </c>
      <c r="D664" s="16">
        <v>64.235819616115947</v>
      </c>
    </row>
    <row r="665" spans="1:4" ht="20.25" customHeight="1" x14ac:dyDescent="0.3">
      <c r="A665" s="15" t="s">
        <v>1115</v>
      </c>
      <c r="B665" s="20" t="s">
        <v>1114</v>
      </c>
      <c r="C665" s="40" t="s">
        <v>1113</v>
      </c>
      <c r="D665" s="22">
        <v>84.290115970919985</v>
      </c>
    </row>
    <row r="666" spans="1:4" ht="20.25" customHeight="1" x14ac:dyDescent="0.3">
      <c r="A666" s="15" t="s">
        <v>1117</v>
      </c>
      <c r="B666" s="20" t="s">
        <v>1116</v>
      </c>
      <c r="C666" s="40" t="s">
        <v>1113</v>
      </c>
      <c r="D666" s="22">
        <v>91.073103717690003</v>
      </c>
    </row>
    <row r="667" spans="1:4" ht="20.25" customHeight="1" x14ac:dyDescent="0.3">
      <c r="A667" s="15" t="s">
        <v>1120</v>
      </c>
      <c r="B667" s="20" t="s">
        <v>1119</v>
      </c>
      <c r="C667" s="40" t="s">
        <v>1118</v>
      </c>
      <c r="D667" s="22">
        <v>100.54863027350002</v>
      </c>
    </row>
    <row r="668" spans="1:4" ht="20.25" customHeight="1" x14ac:dyDescent="0.3">
      <c r="A668" s="15" t="s">
        <v>1122</v>
      </c>
      <c r="B668" s="20" t="s">
        <v>1121</v>
      </c>
      <c r="C668" s="40" t="s">
        <v>1118</v>
      </c>
      <c r="D668" s="22">
        <v>38.099349615659989</v>
      </c>
    </row>
    <row r="669" spans="1:4" ht="20.25" customHeight="1" x14ac:dyDescent="0.3">
      <c r="A669" s="15" t="s">
        <v>1124</v>
      </c>
      <c r="B669" s="20" t="s">
        <v>1123</v>
      </c>
      <c r="C669" s="40" t="s">
        <v>1118</v>
      </c>
      <c r="D669" s="22">
        <v>28.764241588569995</v>
      </c>
    </row>
    <row r="670" spans="1:4" ht="20.25" customHeight="1" x14ac:dyDescent="0.3">
      <c r="A670" s="15" t="s">
        <v>1126</v>
      </c>
      <c r="B670" s="20" t="s">
        <v>1125</v>
      </c>
      <c r="C670" s="40" t="s">
        <v>1118</v>
      </c>
      <c r="D670" s="22">
        <v>26.280594403279991</v>
      </c>
    </row>
    <row r="671" spans="1:4" ht="20.25" customHeight="1" x14ac:dyDescent="0.3">
      <c r="A671" s="15" t="s">
        <v>1122</v>
      </c>
      <c r="B671" s="20" t="s">
        <v>1127</v>
      </c>
      <c r="C671" s="40" t="s">
        <v>1118</v>
      </c>
      <c r="D671" s="22">
        <v>37.35255920801999</v>
      </c>
    </row>
    <row r="672" spans="1:4" ht="20.25" customHeight="1" x14ac:dyDescent="0.3">
      <c r="A672" s="15" t="s">
        <v>1124</v>
      </c>
      <c r="B672" s="20" t="s">
        <v>1128</v>
      </c>
      <c r="C672" s="40" t="s">
        <v>1118</v>
      </c>
      <c r="D672" s="22">
        <v>28.000741885509999</v>
      </c>
    </row>
    <row r="673" spans="1:4" ht="20.25" customHeight="1" x14ac:dyDescent="0.3">
      <c r="A673" s="15" t="s">
        <v>1126</v>
      </c>
      <c r="B673" s="20" t="s">
        <v>1129</v>
      </c>
      <c r="C673" s="40" t="s">
        <v>1118</v>
      </c>
      <c r="D673" s="22">
        <v>26.280594403279991</v>
      </c>
    </row>
    <row r="674" spans="1:4" ht="20.25" customHeight="1" x14ac:dyDescent="0.3">
      <c r="A674" s="15" t="s">
        <v>1131</v>
      </c>
      <c r="B674" s="20" t="s">
        <v>1130</v>
      </c>
      <c r="C674" s="40" t="s">
        <v>1118</v>
      </c>
      <c r="D674" s="16">
        <v>88.584792047250005</v>
      </c>
    </row>
    <row r="675" spans="1:4" ht="20.25" customHeight="1" x14ac:dyDescent="0.3">
      <c r="A675" s="15" t="s">
        <v>1134</v>
      </c>
      <c r="B675" s="20" t="s">
        <v>1133</v>
      </c>
      <c r="C675" s="40" t="s">
        <v>1132</v>
      </c>
      <c r="D675" s="16">
        <v>120.39392812050001</v>
      </c>
    </row>
    <row r="676" spans="1:4" ht="20.25" customHeight="1" x14ac:dyDescent="0.3">
      <c r="A676" s="15">
        <v>770706</v>
      </c>
      <c r="B676" s="20" t="s">
        <v>1136</v>
      </c>
      <c r="C676" s="40" t="s">
        <v>1135</v>
      </c>
      <c r="D676" s="16">
        <v>46.004984831130002</v>
      </c>
    </row>
    <row r="677" spans="1:4" ht="20.25" customHeight="1" x14ac:dyDescent="0.3">
      <c r="A677" s="15">
        <v>91019001000</v>
      </c>
      <c r="B677" s="20" t="s">
        <v>1138</v>
      </c>
      <c r="C677" s="40" t="s">
        <v>1137</v>
      </c>
      <c r="D677" s="16">
        <v>70.948123557119985</v>
      </c>
    </row>
    <row r="678" spans="1:4" ht="20.25" customHeight="1" x14ac:dyDescent="0.3">
      <c r="A678" s="15">
        <v>770710</v>
      </c>
      <c r="B678" s="20" t="s">
        <v>1139</v>
      </c>
      <c r="C678" s="40" t="s">
        <v>1137</v>
      </c>
      <c r="D678" s="16">
        <v>65.617800832</v>
      </c>
    </row>
    <row r="679" spans="1:4" ht="20.25" customHeight="1" x14ac:dyDescent="0.3">
      <c r="A679" s="15" t="s">
        <v>1142</v>
      </c>
      <c r="B679" s="20" t="s">
        <v>1141</v>
      </c>
      <c r="C679" s="59" t="s">
        <v>1140</v>
      </c>
      <c r="D679" s="16">
        <v>158.69588023871998</v>
      </c>
    </row>
    <row r="680" spans="1:4" ht="20.25" customHeight="1" x14ac:dyDescent="0.3">
      <c r="A680" s="15" t="s">
        <v>1144</v>
      </c>
      <c r="B680" s="20" t="s">
        <v>1143</v>
      </c>
      <c r="C680" s="59" t="s">
        <v>1140</v>
      </c>
      <c r="D680" s="16">
        <v>113.75725523162001</v>
      </c>
    </row>
    <row r="681" spans="1:4" ht="20.25" customHeight="1" x14ac:dyDescent="0.3">
      <c r="A681" s="15" t="s">
        <v>1146</v>
      </c>
      <c r="B681" s="20" t="s">
        <v>1145</v>
      </c>
      <c r="C681" s="59" t="s">
        <v>1140</v>
      </c>
      <c r="D681" s="16">
        <v>85.455888337819985</v>
      </c>
    </row>
    <row r="682" spans="1:4" ht="20.25" customHeight="1" x14ac:dyDescent="0.3">
      <c r="A682" s="15" t="s">
        <v>1148</v>
      </c>
      <c r="B682" s="20" t="s">
        <v>1147</v>
      </c>
      <c r="C682" s="59" t="s">
        <v>1140</v>
      </c>
      <c r="D682" s="16">
        <v>86.202117439019972</v>
      </c>
    </row>
    <row r="683" spans="1:4" ht="20.25" customHeight="1" x14ac:dyDescent="0.3">
      <c r="A683" s="15" t="s">
        <v>1150</v>
      </c>
      <c r="B683" s="20" t="s">
        <v>1149</v>
      </c>
      <c r="C683" s="59" t="s">
        <v>1140</v>
      </c>
      <c r="D683" s="16">
        <v>73.229563601369989</v>
      </c>
    </row>
    <row r="684" spans="1:4" ht="20.25" customHeight="1" x14ac:dyDescent="0.3">
      <c r="A684" s="15" t="s">
        <v>1152</v>
      </c>
      <c r="B684" s="20" t="s">
        <v>1151</v>
      </c>
      <c r="C684" s="59" t="s">
        <v>1140</v>
      </c>
      <c r="D684" s="16">
        <v>82.931562435809965</v>
      </c>
    </row>
    <row r="685" spans="1:4" ht="20.25" customHeight="1" x14ac:dyDescent="0.3">
      <c r="A685" s="15" t="s">
        <v>1154</v>
      </c>
      <c r="B685" s="20" t="s">
        <v>1153</v>
      </c>
      <c r="C685" s="59" t="s">
        <v>1140</v>
      </c>
      <c r="D685" s="16">
        <v>57.095171540999985</v>
      </c>
    </row>
    <row r="686" spans="1:4" ht="20.25" customHeight="1" x14ac:dyDescent="0.3">
      <c r="A686" s="15" t="s">
        <v>1156</v>
      </c>
      <c r="B686" s="20" t="s">
        <v>1155</v>
      </c>
      <c r="C686" s="59" t="s">
        <v>1140</v>
      </c>
      <c r="D686" s="16">
        <v>33.319197139199993</v>
      </c>
    </row>
    <row r="687" spans="1:4" ht="20.25" customHeight="1" x14ac:dyDescent="0.3">
      <c r="A687" s="15" t="s">
        <v>1159</v>
      </c>
      <c r="B687" s="20" t="s">
        <v>1158</v>
      </c>
      <c r="C687" s="59" t="s">
        <v>1157</v>
      </c>
      <c r="D687" s="16">
        <v>106.00021279328</v>
      </c>
    </row>
    <row r="688" spans="1:4" ht="20.25" customHeight="1" x14ac:dyDescent="0.3">
      <c r="A688" s="15" t="s">
        <v>1162</v>
      </c>
      <c r="B688" s="20" t="s">
        <v>1161</v>
      </c>
      <c r="C688" s="40" t="s">
        <v>1160</v>
      </c>
      <c r="D688" s="16">
        <v>185.87943686831997</v>
      </c>
    </row>
    <row r="689" spans="1:4" ht="20.25" customHeight="1" x14ac:dyDescent="0.3">
      <c r="A689" s="61" t="s">
        <v>1164</v>
      </c>
      <c r="B689" s="60" t="s">
        <v>1163</v>
      </c>
      <c r="C689" s="60" t="s">
        <v>558</v>
      </c>
      <c r="D689" s="62">
        <v>14.675775206399999</v>
      </c>
    </row>
    <row r="690" spans="1:4" ht="20.25" customHeight="1" x14ac:dyDescent="0.3">
      <c r="A690" s="61" t="s">
        <v>1166</v>
      </c>
      <c r="B690" s="60" t="s">
        <v>1165</v>
      </c>
      <c r="C690" s="60" t="s">
        <v>558</v>
      </c>
      <c r="D690" s="62">
        <v>14.129981913599998</v>
      </c>
    </row>
    <row r="691" spans="1:4" ht="20.25" customHeight="1" x14ac:dyDescent="0.3">
      <c r="A691" s="61" t="s">
        <v>1168</v>
      </c>
      <c r="B691" s="60" t="s">
        <v>1167</v>
      </c>
      <c r="C691" s="60" t="s">
        <v>558</v>
      </c>
      <c r="D691" s="62">
        <v>14.433200409599998</v>
      </c>
    </row>
    <row r="692" spans="1:4" ht="20.25" customHeight="1" x14ac:dyDescent="0.3">
      <c r="A692" s="61" t="s">
        <v>1170</v>
      </c>
      <c r="B692" s="60" t="s">
        <v>1169</v>
      </c>
      <c r="C692" s="60" t="s">
        <v>558</v>
      </c>
      <c r="D692" s="62">
        <v>10.309428863999999</v>
      </c>
    </row>
    <row r="693" spans="1:4" ht="20.25" customHeight="1" x14ac:dyDescent="0.3">
      <c r="A693" s="61" t="s">
        <v>1172</v>
      </c>
      <c r="B693" s="60" t="s">
        <v>1171</v>
      </c>
      <c r="C693" s="60" t="s">
        <v>558</v>
      </c>
      <c r="D693" s="62">
        <v>8.9146237823999996</v>
      </c>
    </row>
    <row r="694" spans="1:4" ht="20.25" customHeight="1" x14ac:dyDescent="0.3">
      <c r="A694" s="61" t="s">
        <v>1174</v>
      </c>
      <c r="B694" s="60" t="s">
        <v>1173</v>
      </c>
      <c r="C694" s="60" t="s">
        <v>558</v>
      </c>
      <c r="D694" s="62">
        <v>7.5198187007999993</v>
      </c>
    </row>
    <row r="695" spans="1:4" ht="20.25" customHeight="1" x14ac:dyDescent="0.3">
      <c r="A695" s="61" t="s">
        <v>1176</v>
      </c>
      <c r="B695" s="60" t="s">
        <v>1175</v>
      </c>
      <c r="C695" s="60" t="s">
        <v>558</v>
      </c>
      <c r="D695" s="62">
        <v>6.1856573183999997</v>
      </c>
    </row>
    <row r="696" spans="1:4" ht="20.25" customHeight="1" x14ac:dyDescent="0.3">
      <c r="A696" s="61" t="s">
        <v>1178</v>
      </c>
      <c r="B696" s="60" t="s">
        <v>1177</v>
      </c>
      <c r="C696" s="60" t="s">
        <v>558</v>
      </c>
      <c r="D696" s="62">
        <v>4.8514959359999992</v>
      </c>
    </row>
    <row r="697" spans="1:4" ht="20.25" customHeight="1" x14ac:dyDescent="0.3">
      <c r="A697" s="61" t="s">
        <v>1180</v>
      </c>
      <c r="B697" s="60" t="s">
        <v>1179</v>
      </c>
      <c r="C697" s="60" t="s">
        <v>558</v>
      </c>
      <c r="D697" s="62">
        <v>3.6386219519999998</v>
      </c>
    </row>
    <row r="698" spans="1:4" ht="20.25" customHeight="1" x14ac:dyDescent="0.3">
      <c r="A698" s="61" t="s">
        <v>1182</v>
      </c>
      <c r="B698" s="60" t="s">
        <v>1181</v>
      </c>
      <c r="C698" s="60" t="s">
        <v>558</v>
      </c>
      <c r="D698" s="14">
        <v>24.238360312499999</v>
      </c>
    </row>
    <row r="699" spans="1:4" ht="20.25" customHeight="1" x14ac:dyDescent="0.3">
      <c r="A699" s="61" t="s">
        <v>1184</v>
      </c>
      <c r="B699" s="60" t="s">
        <v>1183</v>
      </c>
      <c r="C699" s="60" t="s">
        <v>558</v>
      </c>
      <c r="D699" s="14">
        <v>21.730984875000001</v>
      </c>
    </row>
    <row r="700" spans="1:4" ht="20.25" customHeight="1" x14ac:dyDescent="0.3">
      <c r="A700" s="61" t="s">
        <v>1186</v>
      </c>
      <c r="B700" s="60" t="s">
        <v>1185</v>
      </c>
      <c r="C700" s="60" t="s">
        <v>558</v>
      </c>
      <c r="D700" s="14">
        <v>34.563230608828924</v>
      </c>
    </row>
    <row r="701" spans="1:4" ht="20.25" customHeight="1" x14ac:dyDescent="0.3">
      <c r="A701" s="61" t="s">
        <v>1188</v>
      </c>
      <c r="B701" s="60" t="s">
        <v>1187</v>
      </c>
      <c r="C701" s="60" t="s">
        <v>558</v>
      </c>
      <c r="D701" s="62">
        <v>24.474428622800001</v>
      </c>
    </row>
    <row r="702" spans="1:4" ht="17.399999999999999" x14ac:dyDescent="0.3">
      <c r="A702" s="61">
        <v>1635305</v>
      </c>
      <c r="B702" s="60" t="s">
        <v>1189</v>
      </c>
      <c r="C702" s="60" t="s">
        <v>558</v>
      </c>
      <c r="D702" s="19">
        <v>28.605138042399997</v>
      </c>
    </row>
    <row r="703" spans="1:4" ht="20.25" customHeight="1" x14ac:dyDescent="0.3">
      <c r="A703" s="61">
        <v>1635322</v>
      </c>
      <c r="B703" s="60" t="s">
        <v>1190</v>
      </c>
      <c r="C703" s="60" t="s">
        <v>558</v>
      </c>
      <c r="D703" s="62">
        <v>27.912929896799998</v>
      </c>
    </row>
    <row r="704" spans="1:4" ht="20.25" customHeight="1" x14ac:dyDescent="0.3">
      <c r="A704" s="61">
        <v>1635242</v>
      </c>
      <c r="B704" s="60" t="s">
        <v>1191</v>
      </c>
      <c r="C704" s="60" t="s">
        <v>558</v>
      </c>
      <c r="D704" s="62">
        <v>23.088472877599997</v>
      </c>
    </row>
    <row r="705" spans="1:4" ht="20.25" customHeight="1" x14ac:dyDescent="0.3">
      <c r="A705" s="61">
        <v>1635243</v>
      </c>
      <c r="B705" s="60" t="s">
        <v>1192</v>
      </c>
      <c r="C705" s="60" t="s">
        <v>558</v>
      </c>
      <c r="D705" s="62">
        <v>18.953224003999999</v>
      </c>
    </row>
    <row r="706" spans="1:4" ht="20.25" customHeight="1" x14ac:dyDescent="0.3">
      <c r="A706" s="61">
        <v>1635244</v>
      </c>
      <c r="B706" s="60" t="s">
        <v>1193</v>
      </c>
      <c r="C706" s="60" t="s">
        <v>558</v>
      </c>
      <c r="D706" s="62">
        <v>16.368693457999999</v>
      </c>
    </row>
    <row r="707" spans="1:4" ht="20.25" customHeight="1" x14ac:dyDescent="0.3">
      <c r="A707" s="61">
        <v>1635245</v>
      </c>
      <c r="B707" s="60" t="s">
        <v>1194</v>
      </c>
      <c r="C707" s="60" t="s">
        <v>558</v>
      </c>
      <c r="D707" s="62">
        <v>13.784162911999999</v>
      </c>
    </row>
    <row r="708" spans="1:4" ht="20.25" customHeight="1" x14ac:dyDescent="0.3">
      <c r="A708" s="61">
        <v>1635246</v>
      </c>
      <c r="B708" s="60" t="s">
        <v>1195</v>
      </c>
      <c r="C708" s="60" t="s">
        <v>558</v>
      </c>
      <c r="D708" s="62">
        <v>11.199632365999999</v>
      </c>
    </row>
    <row r="709" spans="1:4" ht="20.25" customHeight="1" x14ac:dyDescent="0.3">
      <c r="A709" s="61">
        <v>1635247</v>
      </c>
      <c r="B709" s="60" t="s">
        <v>1196</v>
      </c>
      <c r="C709" s="60" t="s">
        <v>558</v>
      </c>
      <c r="D709" s="62">
        <v>8.6151018199999996</v>
      </c>
    </row>
    <row r="710" spans="1:4" ht="20.25" customHeight="1" x14ac:dyDescent="0.3">
      <c r="A710" s="61">
        <v>1635248</v>
      </c>
      <c r="B710" s="60" t="s">
        <v>1197</v>
      </c>
      <c r="C710" s="60" t="s">
        <v>558</v>
      </c>
      <c r="D710" s="62">
        <v>6.0305712739999997</v>
      </c>
    </row>
    <row r="711" spans="1:4" ht="24" customHeight="1" x14ac:dyDescent="0.3">
      <c r="A711" s="61" t="s">
        <v>1199</v>
      </c>
      <c r="B711" s="60" t="s">
        <v>1198</v>
      </c>
      <c r="C711" s="60" t="s">
        <v>558</v>
      </c>
      <c r="D711" s="14">
        <v>23.779681023199995</v>
      </c>
    </row>
    <row r="712" spans="1:4" ht="20.25" customHeight="1" x14ac:dyDescent="0.3">
      <c r="A712" s="64" t="s">
        <v>1200</v>
      </c>
      <c r="B712" s="63" t="s">
        <v>1201</v>
      </c>
      <c r="C712" s="63" t="s">
        <v>576</v>
      </c>
      <c r="D712" s="65">
        <v>2.7162137229499996</v>
      </c>
    </row>
    <row r="713" spans="1:4" ht="20.25" customHeight="1" x14ac:dyDescent="0.3">
      <c r="A713" s="64" t="s">
        <v>1200</v>
      </c>
      <c r="B713" s="63" t="s">
        <v>1202</v>
      </c>
      <c r="C713" s="63" t="s">
        <v>576</v>
      </c>
      <c r="D713" s="65">
        <v>2.7162137229499996</v>
      </c>
    </row>
    <row r="714" spans="1:4" ht="20.25" customHeight="1" x14ac:dyDescent="0.3">
      <c r="A714" s="64" t="s">
        <v>1200</v>
      </c>
      <c r="B714" s="63" t="s">
        <v>1203</v>
      </c>
      <c r="C714" s="63" t="s">
        <v>576</v>
      </c>
      <c r="D714" s="65">
        <v>2.9733700517499999</v>
      </c>
    </row>
    <row r="715" spans="1:4" ht="20.25" customHeight="1" x14ac:dyDescent="0.3">
      <c r="A715" s="12">
        <v>3209445</v>
      </c>
      <c r="B715" s="11" t="s">
        <v>1204</v>
      </c>
      <c r="C715" s="4" t="s">
        <v>0</v>
      </c>
      <c r="D715" s="16">
        <v>11.613626222729849</v>
      </c>
    </row>
    <row r="716" spans="1:4" ht="20.25" customHeight="1" x14ac:dyDescent="0.3">
      <c r="A716" s="12" t="s">
        <v>1205</v>
      </c>
      <c r="B716" s="11" t="s">
        <v>283</v>
      </c>
      <c r="C716" s="4" t="s">
        <v>0</v>
      </c>
      <c r="D716" s="16">
        <v>13.618771731131229</v>
      </c>
    </row>
    <row r="717" spans="1:4" ht="20.25" customHeight="1" x14ac:dyDescent="0.3">
      <c r="A717" s="12" t="s">
        <v>1206</v>
      </c>
      <c r="B717" s="11" t="s">
        <v>285</v>
      </c>
      <c r="C717" s="4" t="s">
        <v>0</v>
      </c>
      <c r="D717" s="16">
        <v>14.060529850306015</v>
      </c>
    </row>
    <row r="718" spans="1:4" ht="20.25" customHeight="1" x14ac:dyDescent="0.3">
      <c r="A718" s="12" t="s">
        <v>1207</v>
      </c>
      <c r="B718" s="11" t="s">
        <v>285</v>
      </c>
      <c r="C718" s="4" t="s">
        <v>0</v>
      </c>
      <c r="D718" s="16">
        <v>14.060529850306015</v>
      </c>
    </row>
    <row r="719" spans="1:4" ht="20.25" customHeight="1" x14ac:dyDescent="0.3">
      <c r="A719" s="12" t="s">
        <v>1208</v>
      </c>
      <c r="B719" s="11">
        <v>95003630001</v>
      </c>
      <c r="C719" s="4" t="s">
        <v>0</v>
      </c>
      <c r="D719" s="16">
        <v>15.386783744000001</v>
      </c>
    </row>
    <row r="720" spans="1:4" ht="20.25" customHeight="1" x14ac:dyDescent="0.3">
      <c r="A720" s="12" t="s">
        <v>1209</v>
      </c>
      <c r="B720" s="11">
        <v>95003630002</v>
      </c>
      <c r="C720" s="4" t="s">
        <v>0</v>
      </c>
      <c r="D720" s="16">
        <v>13.617303613439999</v>
      </c>
    </row>
    <row r="721" spans="1:4" ht="20.25" customHeight="1" x14ac:dyDescent="0.3">
      <c r="A721" s="12" t="s">
        <v>1210</v>
      </c>
      <c r="B721" s="11">
        <v>95003630003</v>
      </c>
      <c r="C721" s="4" t="s">
        <v>0</v>
      </c>
      <c r="D721" s="16">
        <v>12.2132595968</v>
      </c>
    </row>
    <row r="722" spans="1:4" ht="20.25" customHeight="1" x14ac:dyDescent="0.3">
      <c r="A722" s="12" t="s">
        <v>1211</v>
      </c>
      <c r="B722" s="11">
        <v>95003630004</v>
      </c>
      <c r="C722" s="4" t="s">
        <v>0</v>
      </c>
      <c r="D722" s="16">
        <v>12.2132595968</v>
      </c>
    </row>
    <row r="723" spans="1:4" ht="20.25" customHeight="1" x14ac:dyDescent="0.3">
      <c r="A723" s="12" t="s">
        <v>1212</v>
      </c>
      <c r="B723" s="11">
        <v>95003630005</v>
      </c>
      <c r="C723" s="4" t="s">
        <v>0</v>
      </c>
      <c r="D723" s="16">
        <v>9.4244050431999984</v>
      </c>
    </row>
    <row r="724" spans="1:4" ht="20.25" customHeight="1" x14ac:dyDescent="0.3">
      <c r="A724" s="12" t="s">
        <v>1213</v>
      </c>
      <c r="B724" s="11">
        <v>95003630006</v>
      </c>
      <c r="C724" s="4" t="s">
        <v>0</v>
      </c>
      <c r="D724" s="16">
        <v>8.1742288639999998</v>
      </c>
    </row>
    <row r="725" spans="1:4" ht="20.25" customHeight="1" x14ac:dyDescent="0.3">
      <c r="A725" s="12" t="s">
        <v>1214</v>
      </c>
      <c r="B725" s="11">
        <v>95003630007</v>
      </c>
      <c r="C725" s="4" t="s">
        <v>0</v>
      </c>
      <c r="D725" s="16">
        <v>6.9240526847999995</v>
      </c>
    </row>
    <row r="726" spans="1:4" ht="20.25" customHeight="1" x14ac:dyDescent="0.3">
      <c r="A726" s="12" t="s">
        <v>1215</v>
      </c>
      <c r="B726" s="11">
        <v>95003630008</v>
      </c>
      <c r="C726" s="4" t="s">
        <v>0</v>
      </c>
      <c r="D726" s="16">
        <v>5.5777091072000005</v>
      </c>
    </row>
    <row r="727" spans="1:4" ht="20.25" customHeight="1" x14ac:dyDescent="0.3">
      <c r="A727" s="12" t="s">
        <v>1216</v>
      </c>
      <c r="B727" s="11">
        <v>95003630009</v>
      </c>
      <c r="C727" s="4" t="s">
        <v>0</v>
      </c>
      <c r="D727" s="16">
        <v>4.1351981312000001</v>
      </c>
    </row>
    <row r="728" spans="1:4" ht="20.25" customHeight="1" x14ac:dyDescent="0.3">
      <c r="A728" s="12" t="s">
        <v>1217</v>
      </c>
      <c r="B728" s="11">
        <v>95003630010</v>
      </c>
      <c r="C728" s="4" t="s">
        <v>0</v>
      </c>
      <c r="D728" s="16">
        <v>2.5003523583999998</v>
      </c>
    </row>
    <row r="729" spans="1:4" ht="20.25" customHeight="1" x14ac:dyDescent="0.3">
      <c r="A729" s="12" t="s">
        <v>1218</v>
      </c>
      <c r="B729" s="11">
        <v>95003630011</v>
      </c>
      <c r="C729" s="4" t="s">
        <v>0</v>
      </c>
      <c r="D729" s="16">
        <v>1.6348457727999999</v>
      </c>
    </row>
    <row r="730" spans="1:4" ht="20.25" customHeight="1" x14ac:dyDescent="0.3">
      <c r="A730" s="12" t="s">
        <v>1219</v>
      </c>
      <c r="B730" s="11">
        <v>95003630012</v>
      </c>
      <c r="C730" s="4" t="s">
        <v>0</v>
      </c>
      <c r="D730" s="16">
        <v>1.6348457727999999</v>
      </c>
    </row>
    <row r="731" spans="1:4" ht="20.25" customHeight="1" x14ac:dyDescent="0.3">
      <c r="A731" s="12" t="s">
        <v>1220</v>
      </c>
      <c r="B731" s="11">
        <v>95003630013</v>
      </c>
      <c r="C731" s="4" t="s">
        <v>0</v>
      </c>
      <c r="D731" s="16">
        <v>1.6348457727999999</v>
      </c>
    </row>
    <row r="732" spans="1:4" ht="20.25" customHeight="1" x14ac:dyDescent="0.3">
      <c r="A732" s="12" t="s">
        <v>1221</v>
      </c>
      <c r="B732" s="11">
        <v>95003644001</v>
      </c>
      <c r="C732" s="4" t="s">
        <v>0</v>
      </c>
      <c r="D732" s="16">
        <v>22.4500466175</v>
      </c>
    </row>
    <row r="733" spans="1:4" ht="20.25" customHeight="1" x14ac:dyDescent="0.3">
      <c r="A733" s="12" t="s">
        <v>1222</v>
      </c>
      <c r="B733" s="11">
        <v>95003644002</v>
      </c>
      <c r="C733" s="4" t="s">
        <v>0</v>
      </c>
      <c r="D733" s="16">
        <v>21.538369597500001</v>
      </c>
    </row>
    <row r="734" spans="1:4" ht="20.25" customHeight="1" x14ac:dyDescent="0.3">
      <c r="A734" s="12" t="s">
        <v>1223</v>
      </c>
      <c r="B734" s="11">
        <v>95003644003</v>
      </c>
      <c r="C734" s="4" t="s">
        <v>0</v>
      </c>
      <c r="D734" s="16">
        <v>16.86602487</v>
      </c>
    </row>
    <row r="735" spans="1:4" ht="20.25" customHeight="1" x14ac:dyDescent="0.3">
      <c r="A735" s="12" t="s">
        <v>1224</v>
      </c>
      <c r="B735" s="11">
        <v>95003644004</v>
      </c>
      <c r="C735" s="4" t="s">
        <v>0</v>
      </c>
      <c r="D735" s="16">
        <v>14.928711202500001</v>
      </c>
    </row>
    <row r="736" spans="1:4" ht="20.25" customHeight="1" x14ac:dyDescent="0.3">
      <c r="A736" s="12" t="s">
        <v>1225</v>
      </c>
      <c r="B736" s="11">
        <v>95003644005</v>
      </c>
      <c r="C736" s="4" t="s">
        <v>0</v>
      </c>
      <c r="D736" s="16">
        <v>12.991397534999999</v>
      </c>
    </row>
    <row r="737" spans="1:4" ht="20.25" customHeight="1" x14ac:dyDescent="0.3">
      <c r="A737" s="12" t="s">
        <v>1226</v>
      </c>
      <c r="B737" s="11">
        <v>95003644006</v>
      </c>
      <c r="C737" s="4" t="s">
        <v>0</v>
      </c>
      <c r="D737" s="16">
        <v>11.054083867499999</v>
      </c>
    </row>
    <row r="738" spans="1:4" ht="20.25" customHeight="1" x14ac:dyDescent="0.3">
      <c r="A738" s="12" t="s">
        <v>1227</v>
      </c>
      <c r="B738" s="11">
        <v>95003644007</v>
      </c>
      <c r="C738" s="4" t="s">
        <v>0</v>
      </c>
      <c r="D738" s="16">
        <v>9.1167701999999995</v>
      </c>
    </row>
    <row r="739" spans="1:4" ht="20.25" customHeight="1" x14ac:dyDescent="0.3">
      <c r="A739" s="12" t="s">
        <v>1228</v>
      </c>
      <c r="B739" s="11">
        <v>95003644008</v>
      </c>
      <c r="C739" s="4" t="s">
        <v>0</v>
      </c>
      <c r="D739" s="16">
        <v>7.1794565325000006</v>
      </c>
    </row>
    <row r="740" spans="1:4" ht="20.25" customHeight="1" x14ac:dyDescent="0.3">
      <c r="A740" s="12" t="s">
        <v>1229</v>
      </c>
      <c r="B740" s="11">
        <v>95003644009</v>
      </c>
      <c r="C740" s="4" t="s">
        <v>0</v>
      </c>
      <c r="D740" s="16">
        <v>5.2421428649999999</v>
      </c>
    </row>
    <row r="741" spans="1:4" ht="20.25" customHeight="1" x14ac:dyDescent="0.3">
      <c r="A741" s="12" t="s">
        <v>1230</v>
      </c>
      <c r="B741" s="11">
        <v>95003644010</v>
      </c>
      <c r="C741" s="4" t="s">
        <v>0</v>
      </c>
      <c r="D741" s="16">
        <v>3.418788825</v>
      </c>
    </row>
    <row r="742" spans="1:4" ht="20.25" customHeight="1" x14ac:dyDescent="0.3">
      <c r="A742" s="12" t="s">
        <v>1231</v>
      </c>
      <c r="B742" s="11">
        <v>95003625001</v>
      </c>
      <c r="C742" s="4" t="s">
        <v>0</v>
      </c>
      <c r="D742" s="16">
        <v>15.386783744000001</v>
      </c>
    </row>
    <row r="743" spans="1:4" ht="20.25" customHeight="1" x14ac:dyDescent="0.3">
      <c r="A743" s="12" t="s">
        <v>1232</v>
      </c>
      <c r="B743" s="11">
        <v>95003625002</v>
      </c>
      <c r="C743" s="4" t="s">
        <v>0</v>
      </c>
      <c r="D743" s="16">
        <v>14.42510976</v>
      </c>
    </row>
    <row r="744" spans="1:4" ht="20.25" customHeight="1" x14ac:dyDescent="0.3">
      <c r="A744" s="12" t="s">
        <v>1233</v>
      </c>
      <c r="B744" s="11">
        <v>95003625003</v>
      </c>
      <c r="C744" s="4" t="s">
        <v>0</v>
      </c>
      <c r="D744" s="16">
        <v>12.2132595968</v>
      </c>
    </row>
    <row r="745" spans="1:4" ht="20.25" customHeight="1" x14ac:dyDescent="0.3">
      <c r="A745" s="12" t="s">
        <v>1234</v>
      </c>
      <c r="B745" s="11">
        <v>95003625004</v>
      </c>
      <c r="C745" s="4" t="s">
        <v>0</v>
      </c>
      <c r="D745" s="16">
        <v>12.2132595968</v>
      </c>
    </row>
    <row r="746" spans="1:4" ht="20.25" customHeight="1" x14ac:dyDescent="0.3">
      <c r="A746" s="12" t="s">
        <v>1235</v>
      </c>
      <c r="B746" s="11">
        <v>95003625005</v>
      </c>
      <c r="C746" s="4" t="s">
        <v>0</v>
      </c>
      <c r="D746" s="16">
        <v>9.4244050431999984</v>
      </c>
    </row>
    <row r="747" spans="1:4" ht="20.25" customHeight="1" x14ac:dyDescent="0.3">
      <c r="A747" s="12" t="s">
        <v>1236</v>
      </c>
      <c r="B747" s="11">
        <v>95003625006</v>
      </c>
      <c r="C747" s="4" t="s">
        <v>0</v>
      </c>
      <c r="D747" s="16">
        <v>8.1742288639999998</v>
      </c>
    </row>
    <row r="748" spans="1:4" ht="20.25" customHeight="1" x14ac:dyDescent="0.3">
      <c r="A748" s="12" t="s">
        <v>1237</v>
      </c>
      <c r="B748" s="11">
        <v>95003625007</v>
      </c>
      <c r="C748" s="4" t="s">
        <v>0</v>
      </c>
      <c r="D748" s="16">
        <v>6.9240526847999995</v>
      </c>
    </row>
    <row r="749" spans="1:4" ht="20.25" customHeight="1" x14ac:dyDescent="0.3">
      <c r="A749" s="12" t="s">
        <v>1238</v>
      </c>
      <c r="B749" s="11">
        <v>95003625008</v>
      </c>
      <c r="C749" s="4" t="s">
        <v>0</v>
      </c>
      <c r="D749" s="16">
        <v>5.5777091072000005</v>
      </c>
    </row>
    <row r="750" spans="1:4" ht="20.25" customHeight="1" x14ac:dyDescent="0.3">
      <c r="A750" s="12" t="s">
        <v>1239</v>
      </c>
      <c r="B750" s="11">
        <v>95003625009</v>
      </c>
      <c r="C750" s="4" t="s">
        <v>0</v>
      </c>
      <c r="D750" s="16">
        <v>4.1351981312000001</v>
      </c>
    </row>
    <row r="751" spans="1:4" ht="20.25" customHeight="1" x14ac:dyDescent="0.3">
      <c r="A751" s="12" t="s">
        <v>1240</v>
      </c>
      <c r="B751" s="11">
        <v>95003625010</v>
      </c>
      <c r="C751" s="4" t="s">
        <v>0</v>
      </c>
      <c r="D751" s="16">
        <v>2.5003523583999998</v>
      </c>
    </row>
    <row r="752" spans="1:4" ht="20.25" customHeight="1" x14ac:dyDescent="0.3">
      <c r="A752" s="12" t="s">
        <v>1241</v>
      </c>
      <c r="B752" s="11">
        <v>95003625011</v>
      </c>
      <c r="C752" s="4" t="s">
        <v>0</v>
      </c>
      <c r="D752" s="16">
        <v>1.6348457727999999</v>
      </c>
    </row>
    <row r="753" spans="1:4" ht="20.25" customHeight="1" x14ac:dyDescent="0.3">
      <c r="A753" s="12" t="s">
        <v>1242</v>
      </c>
      <c r="B753" s="11">
        <v>95003625012</v>
      </c>
      <c r="C753" s="4" t="s">
        <v>0</v>
      </c>
      <c r="D753" s="16">
        <v>1.6348457727999999</v>
      </c>
    </row>
    <row r="754" spans="1:4" ht="20.25" customHeight="1" x14ac:dyDescent="0.3">
      <c r="A754" s="12" t="s">
        <v>1243</v>
      </c>
      <c r="B754" s="11">
        <v>95003625013</v>
      </c>
      <c r="C754" s="4" t="s">
        <v>0</v>
      </c>
      <c r="D754" s="16">
        <v>1.6348457727999999</v>
      </c>
    </row>
    <row r="755" spans="1:4" ht="20.25" customHeight="1" x14ac:dyDescent="0.3">
      <c r="A755" s="12" t="s">
        <v>1244</v>
      </c>
      <c r="B755" s="11">
        <v>95003482001</v>
      </c>
      <c r="C755" s="4" t="s">
        <v>0</v>
      </c>
      <c r="D755" s="16">
        <v>13.6754230635</v>
      </c>
    </row>
    <row r="756" spans="1:4" ht="20.25" customHeight="1" x14ac:dyDescent="0.3">
      <c r="A756" s="12" t="s">
        <v>1245</v>
      </c>
      <c r="B756" s="11">
        <v>95003482002</v>
      </c>
      <c r="C756" s="4" t="s">
        <v>0</v>
      </c>
      <c r="D756" s="16">
        <v>13.2937833501</v>
      </c>
    </row>
    <row r="757" spans="1:4" ht="20.25" customHeight="1" x14ac:dyDescent="0.3">
      <c r="A757" s="12" t="s">
        <v>1246</v>
      </c>
      <c r="B757" s="11">
        <v>95003482003</v>
      </c>
      <c r="C757" s="4" t="s">
        <v>0</v>
      </c>
      <c r="D757" s="16">
        <v>10.590453953346149</v>
      </c>
    </row>
    <row r="758" spans="1:4" ht="20.25" customHeight="1" x14ac:dyDescent="0.3">
      <c r="A758" s="12" t="s">
        <v>1247</v>
      </c>
      <c r="B758" s="11">
        <v>95003482004</v>
      </c>
      <c r="C758" s="4" t="s">
        <v>0</v>
      </c>
      <c r="D758" s="16">
        <v>9.5063917376492988</v>
      </c>
    </row>
    <row r="759" spans="1:4" ht="20.25" customHeight="1" x14ac:dyDescent="0.3">
      <c r="A759" s="12" t="s">
        <v>1248</v>
      </c>
      <c r="B759" s="11">
        <v>95003482005</v>
      </c>
      <c r="C759" s="4" t="s">
        <v>0</v>
      </c>
      <c r="D759" s="16">
        <v>8.3389401207449989</v>
      </c>
    </row>
    <row r="760" spans="1:4" ht="20.25" customHeight="1" x14ac:dyDescent="0.3">
      <c r="A760" s="12" t="s">
        <v>1249</v>
      </c>
      <c r="B760" s="11">
        <v>95003482006</v>
      </c>
      <c r="C760" s="4" t="s">
        <v>0</v>
      </c>
      <c r="D760" s="16">
        <v>6.7582032581249996</v>
      </c>
    </row>
    <row r="761" spans="1:4" ht="20.25" customHeight="1" x14ac:dyDescent="0.3">
      <c r="A761" s="12" t="s">
        <v>1250</v>
      </c>
      <c r="B761" s="11">
        <v>95003482007</v>
      </c>
      <c r="C761" s="4" t="s">
        <v>0</v>
      </c>
      <c r="D761" s="16">
        <v>5.7245957010000001</v>
      </c>
    </row>
    <row r="762" spans="1:4" ht="20.25" customHeight="1" x14ac:dyDescent="0.3">
      <c r="A762" s="12" t="s">
        <v>1251</v>
      </c>
      <c r="B762" s="11">
        <v>95003482008</v>
      </c>
      <c r="C762" s="4" t="s">
        <v>0</v>
      </c>
      <c r="D762" s="16">
        <v>4.7704964175000004</v>
      </c>
    </row>
    <row r="763" spans="1:4" ht="20.25" customHeight="1" x14ac:dyDescent="0.3">
      <c r="A763" s="12" t="s">
        <v>1252</v>
      </c>
      <c r="B763" s="11">
        <v>95003482009</v>
      </c>
      <c r="C763" s="4" t="s">
        <v>0</v>
      </c>
      <c r="D763" s="16">
        <v>3.4438387574699996</v>
      </c>
    </row>
    <row r="764" spans="1:4" ht="20.25" customHeight="1" x14ac:dyDescent="0.3">
      <c r="A764" s="12" t="s">
        <v>1253</v>
      </c>
      <c r="B764" s="11">
        <v>95003482010</v>
      </c>
      <c r="C764" s="4" t="s">
        <v>0</v>
      </c>
      <c r="D764" s="16">
        <v>2.5454460381299997</v>
      </c>
    </row>
    <row r="765" spans="1:4" ht="20.25" customHeight="1" x14ac:dyDescent="0.3">
      <c r="A765" s="12" t="s">
        <v>1254</v>
      </c>
      <c r="B765" s="11">
        <v>95003482011</v>
      </c>
      <c r="C765" s="4" t="s">
        <v>0</v>
      </c>
      <c r="D765" s="16">
        <v>1.5721872588449997</v>
      </c>
    </row>
    <row r="766" spans="1:4" ht="20.25" customHeight="1" x14ac:dyDescent="0.3">
      <c r="A766" s="12" t="s">
        <v>1255</v>
      </c>
      <c r="B766" s="11">
        <v>95003482012</v>
      </c>
      <c r="C766" s="4" t="s">
        <v>0</v>
      </c>
      <c r="D766" s="16">
        <v>1.04812483923</v>
      </c>
    </row>
    <row r="767" spans="1:4" ht="20.25" customHeight="1" x14ac:dyDescent="0.3">
      <c r="A767" s="12" t="s">
        <v>1256</v>
      </c>
      <c r="B767" s="11">
        <v>95003482013</v>
      </c>
      <c r="C767" s="4" t="s">
        <v>0</v>
      </c>
      <c r="D767" s="16">
        <v>1.04812483923</v>
      </c>
    </row>
    <row r="768" spans="1:4" ht="20.25" customHeight="1" x14ac:dyDescent="0.3">
      <c r="A768" s="12" t="s">
        <v>1257</v>
      </c>
      <c r="B768" s="11">
        <v>95003063014</v>
      </c>
      <c r="C768" s="4" t="s">
        <v>0</v>
      </c>
      <c r="D768" s="16">
        <v>2.3693086031999995</v>
      </c>
    </row>
    <row r="769" spans="1:4" ht="20.25" customHeight="1" x14ac:dyDescent="0.3">
      <c r="A769" s="12" t="s">
        <v>1258</v>
      </c>
      <c r="B769" s="11">
        <v>95003063015</v>
      </c>
      <c r="C769" s="4" t="s">
        <v>0</v>
      </c>
      <c r="D769" s="16">
        <v>1.4892796934399999</v>
      </c>
    </row>
    <row r="770" spans="1:4" ht="20.25" customHeight="1" x14ac:dyDescent="0.3">
      <c r="A770" s="12" t="s">
        <v>1259</v>
      </c>
      <c r="B770" s="11">
        <v>96007234</v>
      </c>
      <c r="C770" s="4" t="s">
        <v>0</v>
      </c>
      <c r="D770" s="16">
        <v>22.4500466175</v>
      </c>
    </row>
    <row r="771" spans="1:4" ht="20.25" customHeight="1" x14ac:dyDescent="0.3">
      <c r="A771" s="12" t="s">
        <v>1260</v>
      </c>
      <c r="B771" s="11">
        <v>96007235</v>
      </c>
      <c r="C771" s="4" t="s">
        <v>0</v>
      </c>
      <c r="D771" s="16">
        <v>22.791925500000001</v>
      </c>
    </row>
    <row r="772" spans="1:4" ht="20.25" customHeight="1" x14ac:dyDescent="0.3">
      <c r="A772" s="12" t="s">
        <v>1261</v>
      </c>
      <c r="B772" s="11">
        <v>96007236</v>
      </c>
      <c r="C772" s="4" t="s">
        <v>0</v>
      </c>
      <c r="D772" s="16">
        <v>16.86602487</v>
      </c>
    </row>
    <row r="773" spans="1:4" ht="20.25" customHeight="1" x14ac:dyDescent="0.3">
      <c r="A773" s="12" t="s">
        <v>1262</v>
      </c>
      <c r="B773" s="11">
        <v>96007237</v>
      </c>
      <c r="C773" s="4" t="s">
        <v>0</v>
      </c>
      <c r="D773" s="16">
        <v>14.928711202500001</v>
      </c>
    </row>
    <row r="774" spans="1:4" ht="20.25" customHeight="1" x14ac:dyDescent="0.3">
      <c r="A774" s="12" t="s">
        <v>1263</v>
      </c>
      <c r="B774" s="11">
        <v>96007238</v>
      </c>
      <c r="C774" s="4" t="s">
        <v>0</v>
      </c>
      <c r="D774" s="16">
        <v>12.991397534999999</v>
      </c>
    </row>
    <row r="775" spans="1:4" ht="20.25" customHeight="1" x14ac:dyDescent="0.3">
      <c r="A775" s="12" t="s">
        <v>1264</v>
      </c>
      <c r="B775" s="11">
        <v>96007239</v>
      </c>
      <c r="C775" s="4" t="s">
        <v>0</v>
      </c>
      <c r="D775" s="16">
        <v>11.054083867499999</v>
      </c>
    </row>
    <row r="776" spans="1:4" ht="20.25" customHeight="1" x14ac:dyDescent="0.3">
      <c r="A776" s="12" t="s">
        <v>1265</v>
      </c>
      <c r="B776" s="11">
        <v>96007240</v>
      </c>
      <c r="C776" s="4" t="s">
        <v>0</v>
      </c>
      <c r="D776" s="16">
        <v>9.1167701999999995</v>
      </c>
    </row>
    <row r="777" spans="1:4" ht="20.25" customHeight="1" x14ac:dyDescent="0.3">
      <c r="A777" s="12" t="s">
        <v>1266</v>
      </c>
      <c r="B777" s="11">
        <v>96007241</v>
      </c>
      <c r="C777" s="4" t="s">
        <v>0</v>
      </c>
      <c r="D777" s="16">
        <v>7.1794565325000006</v>
      </c>
    </row>
    <row r="778" spans="1:4" ht="20.25" customHeight="1" x14ac:dyDescent="0.3">
      <c r="A778" s="12" t="s">
        <v>1267</v>
      </c>
      <c r="B778" s="11">
        <v>96007242</v>
      </c>
      <c r="C778" s="4" t="s">
        <v>0</v>
      </c>
      <c r="D778" s="16">
        <v>5.2421428649999999</v>
      </c>
    </row>
    <row r="779" spans="1:4" ht="20.25" customHeight="1" x14ac:dyDescent="0.3">
      <c r="A779" s="12" t="s">
        <v>1268</v>
      </c>
      <c r="B779" s="11">
        <v>96007243</v>
      </c>
      <c r="C779" s="4" t="s">
        <v>0</v>
      </c>
      <c r="D779" s="16">
        <v>3.418788825</v>
      </c>
    </row>
    <row r="780" spans="1:4" ht="20.25" customHeight="1" x14ac:dyDescent="0.3">
      <c r="A780" s="12" t="s">
        <v>1269</v>
      </c>
      <c r="B780" s="11">
        <v>95003089001</v>
      </c>
      <c r="C780" s="4" t="s">
        <v>0</v>
      </c>
      <c r="D780" s="16">
        <v>14.15247270525</v>
      </c>
    </row>
    <row r="781" spans="1:4" ht="20.25" customHeight="1" x14ac:dyDescent="0.3">
      <c r="A781" s="12" t="s">
        <v>1270</v>
      </c>
      <c r="B781" s="11">
        <v>95003089002</v>
      </c>
      <c r="C781" s="4" t="s">
        <v>0</v>
      </c>
      <c r="D781" s="16">
        <v>13.898046229649999</v>
      </c>
    </row>
    <row r="782" spans="1:4" ht="20.25" customHeight="1" x14ac:dyDescent="0.3">
      <c r="A782" s="12" t="s">
        <v>1271</v>
      </c>
      <c r="B782" s="11">
        <v>95003089003</v>
      </c>
      <c r="C782" s="4" t="s">
        <v>0</v>
      </c>
      <c r="D782" s="16">
        <v>12.117060900449999</v>
      </c>
    </row>
    <row r="783" spans="1:4" ht="20.25" customHeight="1" x14ac:dyDescent="0.3">
      <c r="A783" s="12" t="s">
        <v>1272</v>
      </c>
      <c r="B783" s="11">
        <v>95003089004</v>
      </c>
      <c r="C783" s="4" t="s">
        <v>0</v>
      </c>
      <c r="D783" s="16">
        <v>10.20886233345</v>
      </c>
    </row>
    <row r="784" spans="1:4" ht="20.25" customHeight="1" x14ac:dyDescent="0.3">
      <c r="A784" s="12" t="s">
        <v>1273</v>
      </c>
      <c r="B784" s="11">
        <v>95003089005</v>
      </c>
      <c r="C784" s="4" t="s">
        <v>0</v>
      </c>
      <c r="D784" s="16">
        <v>9.4614845613750003</v>
      </c>
    </row>
    <row r="785" spans="1:4" ht="20.25" customHeight="1" x14ac:dyDescent="0.3">
      <c r="A785" s="12" t="s">
        <v>1274</v>
      </c>
      <c r="B785" s="11">
        <v>95003089006</v>
      </c>
      <c r="C785" s="4" t="s">
        <v>0</v>
      </c>
      <c r="D785" s="16">
        <v>8.618696860950001</v>
      </c>
    </row>
    <row r="786" spans="1:4" ht="20.25" customHeight="1" x14ac:dyDescent="0.3">
      <c r="A786" s="12" t="s">
        <v>1275</v>
      </c>
      <c r="B786" s="11">
        <v>95003089007</v>
      </c>
      <c r="C786" s="4" t="s">
        <v>0</v>
      </c>
      <c r="D786" s="16">
        <v>7.8236141246999997</v>
      </c>
    </row>
    <row r="787" spans="1:4" ht="20.25" customHeight="1" x14ac:dyDescent="0.3">
      <c r="A787" s="12" t="s">
        <v>1276</v>
      </c>
      <c r="B787" s="11">
        <v>95003089008</v>
      </c>
      <c r="C787" s="4" t="s">
        <v>0</v>
      </c>
      <c r="D787" s="16">
        <v>6.9967280789999995</v>
      </c>
    </row>
    <row r="788" spans="1:4" ht="20.25" customHeight="1" x14ac:dyDescent="0.3">
      <c r="A788" s="12" t="s">
        <v>1277</v>
      </c>
      <c r="B788" s="11">
        <v>95003089009</v>
      </c>
      <c r="C788" s="4" t="s">
        <v>0</v>
      </c>
      <c r="D788" s="16">
        <v>6.1380387238499994</v>
      </c>
    </row>
    <row r="789" spans="1:4" ht="20.25" customHeight="1" x14ac:dyDescent="0.3">
      <c r="A789" s="12" t="s">
        <v>1278</v>
      </c>
      <c r="B789" s="11">
        <v>95003089010</v>
      </c>
      <c r="C789" s="4" t="s">
        <v>0</v>
      </c>
      <c r="D789" s="16">
        <v>5.1998410950749996</v>
      </c>
    </row>
    <row r="790" spans="1:4" ht="20.25" customHeight="1" x14ac:dyDescent="0.3">
      <c r="A790" s="12" t="s">
        <v>1279</v>
      </c>
      <c r="B790" s="11">
        <v>95003089011</v>
      </c>
      <c r="C790" s="4" t="s">
        <v>0</v>
      </c>
      <c r="D790" s="16">
        <v>4.2298401568499999</v>
      </c>
    </row>
    <row r="791" spans="1:4" ht="20.25" customHeight="1" x14ac:dyDescent="0.3">
      <c r="A791" s="12" t="s">
        <v>1280</v>
      </c>
      <c r="B791" s="11">
        <v>95003089012</v>
      </c>
      <c r="C791" s="4" t="s">
        <v>0</v>
      </c>
      <c r="D791" s="16">
        <v>3.1803309450000001</v>
      </c>
    </row>
    <row r="792" spans="1:4" ht="20.25" customHeight="1" x14ac:dyDescent="0.3">
      <c r="A792" s="12" t="s">
        <v>1281</v>
      </c>
      <c r="B792" s="11">
        <v>95003089013</v>
      </c>
      <c r="C792" s="4" t="s">
        <v>0</v>
      </c>
      <c r="D792" s="16">
        <v>1.987706840625</v>
      </c>
    </row>
    <row r="793" spans="1:4" ht="20.25" customHeight="1" x14ac:dyDescent="0.3">
      <c r="A793" s="12" t="s">
        <v>1282</v>
      </c>
      <c r="B793" s="11">
        <v>95003089014</v>
      </c>
      <c r="C793" s="4" t="s">
        <v>0</v>
      </c>
      <c r="D793" s="16">
        <v>7.1650168560570586</v>
      </c>
    </row>
    <row r="794" spans="1:4" ht="20.25" customHeight="1" x14ac:dyDescent="0.3">
      <c r="A794" s="12" t="s">
        <v>1283</v>
      </c>
      <c r="B794" s="11">
        <v>95003089015</v>
      </c>
      <c r="C794" s="4" t="s">
        <v>0</v>
      </c>
      <c r="D794" s="16">
        <v>6.7450891282295391</v>
      </c>
    </row>
    <row r="795" spans="1:4" ht="20.25" customHeight="1" x14ac:dyDescent="0.3">
      <c r="A795" s="12" t="s">
        <v>1284</v>
      </c>
      <c r="B795" s="11">
        <v>95003089016</v>
      </c>
      <c r="C795" s="4" t="s">
        <v>0</v>
      </c>
      <c r="D795" s="16">
        <v>5.3278330468116595</v>
      </c>
    </row>
    <row r="796" spans="1:4" ht="20.25" customHeight="1" x14ac:dyDescent="0.3">
      <c r="A796" s="12" t="s">
        <v>1285</v>
      </c>
      <c r="B796" s="11">
        <v>95003089017</v>
      </c>
      <c r="C796" s="4" t="s">
        <v>0</v>
      </c>
      <c r="D796" s="16">
        <v>4.7241869380596002</v>
      </c>
    </row>
    <row r="797" spans="1:4" ht="20.25" customHeight="1" x14ac:dyDescent="0.3">
      <c r="A797" s="12" t="s">
        <v>1286</v>
      </c>
      <c r="B797" s="11">
        <v>95003089018</v>
      </c>
      <c r="C797" s="4" t="s">
        <v>0</v>
      </c>
      <c r="D797" s="16">
        <v>4.0942953463183196</v>
      </c>
    </row>
    <row r="798" spans="1:4" ht="20.25" customHeight="1" x14ac:dyDescent="0.3">
      <c r="A798" s="12" t="s">
        <v>1287</v>
      </c>
      <c r="B798" s="11">
        <v>95003089019</v>
      </c>
      <c r="C798" s="4" t="s">
        <v>0</v>
      </c>
      <c r="D798" s="16">
        <v>3.4512810130824296</v>
      </c>
    </row>
    <row r="799" spans="1:4" ht="20.25" customHeight="1" x14ac:dyDescent="0.3">
      <c r="A799" s="12" t="s">
        <v>1288</v>
      </c>
      <c r="B799" s="11">
        <v>95003089020</v>
      </c>
      <c r="C799" s="4" t="s">
        <v>0</v>
      </c>
      <c r="D799" s="16">
        <v>2.7557757138680996</v>
      </c>
    </row>
    <row r="800" spans="1:4" ht="20.25" customHeight="1" x14ac:dyDescent="0.3">
      <c r="A800" s="12" t="s">
        <v>1289</v>
      </c>
      <c r="B800" s="11">
        <v>95003089021</v>
      </c>
      <c r="C800" s="4" t="s">
        <v>0</v>
      </c>
      <c r="D800" s="16">
        <v>2.0077794486753295</v>
      </c>
    </row>
    <row r="801" spans="1:4" ht="20.25" customHeight="1" x14ac:dyDescent="0.3">
      <c r="A801" s="12" t="s">
        <v>1290</v>
      </c>
      <c r="B801" s="11">
        <v>95003089022</v>
      </c>
      <c r="C801" s="4" t="s">
        <v>0</v>
      </c>
      <c r="D801" s="16">
        <v>1.2072922175041196</v>
      </c>
    </row>
    <row r="802" spans="1:4" ht="20.25" customHeight="1" x14ac:dyDescent="0.3">
      <c r="A802" s="12" t="s">
        <v>1291</v>
      </c>
      <c r="B802" s="11">
        <v>95003266001</v>
      </c>
      <c r="C802" s="4" t="s">
        <v>0</v>
      </c>
      <c r="D802" s="16">
        <v>13.6833738908625</v>
      </c>
    </row>
    <row r="803" spans="1:4" ht="20.25" customHeight="1" x14ac:dyDescent="0.3">
      <c r="A803" s="12" t="s">
        <v>1292</v>
      </c>
      <c r="B803" s="11">
        <v>95003266002</v>
      </c>
      <c r="C803" s="4" t="s">
        <v>0</v>
      </c>
      <c r="D803" s="16">
        <v>13.373291623725001</v>
      </c>
    </row>
    <row r="804" spans="1:4" ht="20.25" customHeight="1" x14ac:dyDescent="0.3">
      <c r="A804" s="12" t="s">
        <v>1293</v>
      </c>
      <c r="B804" s="11">
        <v>95003266003</v>
      </c>
      <c r="C804" s="4" t="s">
        <v>0</v>
      </c>
      <c r="D804" s="16">
        <v>9.7795176558750008</v>
      </c>
    </row>
    <row r="805" spans="1:4" ht="20.25" customHeight="1" x14ac:dyDescent="0.3">
      <c r="A805" s="12" t="s">
        <v>1294</v>
      </c>
      <c r="B805" s="11">
        <v>95003266004</v>
      </c>
      <c r="C805" s="4" t="s">
        <v>0</v>
      </c>
      <c r="D805" s="16">
        <v>8.9049266459999998</v>
      </c>
    </row>
    <row r="806" spans="1:4" ht="20.25" customHeight="1" x14ac:dyDescent="0.3">
      <c r="A806" s="12" t="s">
        <v>1295</v>
      </c>
      <c r="B806" s="11">
        <v>95003266005</v>
      </c>
      <c r="C806" s="4" t="s">
        <v>0</v>
      </c>
      <c r="D806" s="16">
        <v>8.0303356361250007</v>
      </c>
    </row>
    <row r="807" spans="1:4" ht="20.25" customHeight="1" x14ac:dyDescent="0.3">
      <c r="A807" s="12" t="s">
        <v>1296</v>
      </c>
      <c r="B807" s="11">
        <v>95003266006</v>
      </c>
      <c r="C807" s="4" t="s">
        <v>0</v>
      </c>
      <c r="D807" s="16">
        <v>7.1398429715249998</v>
      </c>
    </row>
    <row r="808" spans="1:4" ht="20.25" customHeight="1" x14ac:dyDescent="0.3">
      <c r="A808" s="12" t="s">
        <v>1297</v>
      </c>
      <c r="B808" s="11">
        <v>95003266007</v>
      </c>
      <c r="C808" s="4" t="s">
        <v>0</v>
      </c>
      <c r="D808" s="16">
        <v>6.2334486521999999</v>
      </c>
    </row>
    <row r="809" spans="1:4" ht="20.25" customHeight="1" x14ac:dyDescent="0.3">
      <c r="A809" s="12" t="s">
        <v>1298</v>
      </c>
      <c r="B809" s="11">
        <v>95003266008</v>
      </c>
      <c r="C809" s="4" t="s">
        <v>0</v>
      </c>
      <c r="D809" s="16">
        <v>5.3032018507874996</v>
      </c>
    </row>
    <row r="810" spans="1:4" ht="20.25" customHeight="1" x14ac:dyDescent="0.3">
      <c r="A810" s="12" t="s">
        <v>1299</v>
      </c>
      <c r="B810" s="11">
        <v>95003266009</v>
      </c>
      <c r="C810" s="4" t="s">
        <v>0</v>
      </c>
      <c r="D810" s="16">
        <v>4.3411517399249995</v>
      </c>
    </row>
    <row r="811" spans="1:4" ht="20.25" customHeight="1" x14ac:dyDescent="0.3">
      <c r="A811" s="12" t="s">
        <v>1300</v>
      </c>
      <c r="B811" s="11">
        <v>95003266010</v>
      </c>
      <c r="C811" s="4" t="s">
        <v>0</v>
      </c>
      <c r="D811" s="16">
        <v>3.1368879116954997</v>
      </c>
    </row>
    <row r="812" spans="1:4" ht="20.25" customHeight="1" x14ac:dyDescent="0.3">
      <c r="A812" s="12" t="s">
        <v>1301</v>
      </c>
      <c r="B812" s="11">
        <v>95003266011</v>
      </c>
      <c r="C812" s="4" t="s">
        <v>0</v>
      </c>
      <c r="D812" s="16">
        <v>2.2983880403114996</v>
      </c>
    </row>
    <row r="813" spans="1:4" ht="20.25" customHeight="1" x14ac:dyDescent="0.3">
      <c r="A813" s="12" t="s">
        <v>1302</v>
      </c>
      <c r="B813" s="11">
        <v>95003266012</v>
      </c>
      <c r="C813" s="4" t="s">
        <v>0</v>
      </c>
      <c r="D813" s="16">
        <v>1.4074819269659997</v>
      </c>
    </row>
    <row r="814" spans="1:4" ht="20.25" customHeight="1" x14ac:dyDescent="0.3">
      <c r="A814" s="12" t="s">
        <v>1303</v>
      </c>
      <c r="B814" s="11">
        <v>95003266013</v>
      </c>
      <c r="C814" s="4" t="s">
        <v>0</v>
      </c>
      <c r="D814" s="16">
        <v>1.11311583075</v>
      </c>
    </row>
    <row r="815" spans="1:4" ht="20.25" customHeight="1" x14ac:dyDescent="0.3">
      <c r="A815" s="12" t="s">
        <v>1304</v>
      </c>
      <c r="B815" s="11">
        <v>95003268001</v>
      </c>
      <c r="C815" s="4" t="s">
        <v>0</v>
      </c>
      <c r="D815" s="16">
        <v>15.386783744000001</v>
      </c>
    </row>
    <row r="816" spans="1:4" ht="20.25" customHeight="1" x14ac:dyDescent="0.3">
      <c r="A816" s="12" t="s">
        <v>1305</v>
      </c>
      <c r="B816" s="11">
        <v>95003268002</v>
      </c>
      <c r="C816" s="4" t="s">
        <v>0</v>
      </c>
      <c r="D816" s="16">
        <v>12.845037355919999</v>
      </c>
    </row>
    <row r="817" spans="1:4" ht="20.25" customHeight="1" x14ac:dyDescent="0.3">
      <c r="A817" s="12" t="s">
        <v>1306</v>
      </c>
      <c r="B817" s="11">
        <v>95003268003</v>
      </c>
      <c r="C817" s="4" t="s">
        <v>0</v>
      </c>
      <c r="D817" s="16">
        <v>10.831125043199998</v>
      </c>
    </row>
    <row r="818" spans="1:4" ht="20.25" customHeight="1" x14ac:dyDescent="0.3">
      <c r="A818" s="12" t="s">
        <v>1307</v>
      </c>
      <c r="B818" s="11">
        <v>95003268004</v>
      </c>
      <c r="C818" s="4" t="s">
        <v>0</v>
      </c>
      <c r="D818" s="16">
        <v>9.2233799195999975</v>
      </c>
    </row>
    <row r="819" spans="1:4" ht="20.25" customHeight="1" x14ac:dyDescent="0.3">
      <c r="A819" s="12" t="s">
        <v>1308</v>
      </c>
      <c r="B819" s="11">
        <v>95003268005</v>
      </c>
      <c r="C819" s="4" t="s">
        <v>0</v>
      </c>
      <c r="D819" s="16">
        <v>8.6056673194800002</v>
      </c>
    </row>
    <row r="820" spans="1:4" ht="20.25" customHeight="1" x14ac:dyDescent="0.3">
      <c r="A820" s="12" t="s">
        <v>1309</v>
      </c>
      <c r="B820" s="11">
        <v>95003268006</v>
      </c>
      <c r="C820" s="4" t="s">
        <v>0</v>
      </c>
      <c r="D820" s="16">
        <v>7.996416535799999</v>
      </c>
    </row>
    <row r="821" spans="1:4" ht="20.25" customHeight="1" x14ac:dyDescent="0.3">
      <c r="A821" s="12" t="s">
        <v>1310</v>
      </c>
      <c r="B821" s="11">
        <v>95003268007</v>
      </c>
      <c r="C821" s="4" t="s">
        <v>0</v>
      </c>
      <c r="D821" s="16">
        <v>7.3787039356799999</v>
      </c>
    </row>
    <row r="822" spans="1:4" ht="20.25" customHeight="1" x14ac:dyDescent="0.3">
      <c r="A822" s="12" t="s">
        <v>1311</v>
      </c>
      <c r="B822" s="11">
        <v>95003268008</v>
      </c>
      <c r="C822" s="4" t="s">
        <v>0</v>
      </c>
      <c r="D822" s="16">
        <v>6.6679113547200002</v>
      </c>
    </row>
    <row r="823" spans="1:4" ht="20.25" customHeight="1" x14ac:dyDescent="0.3">
      <c r="A823" s="12" t="s">
        <v>1312</v>
      </c>
      <c r="B823" s="11">
        <v>95003268009</v>
      </c>
      <c r="C823" s="4" t="s">
        <v>0</v>
      </c>
      <c r="D823" s="16">
        <v>6.0586605710399999</v>
      </c>
    </row>
    <row r="824" spans="1:4" ht="20.25" customHeight="1" x14ac:dyDescent="0.3">
      <c r="A824" s="12" t="s">
        <v>1313</v>
      </c>
      <c r="B824" s="11">
        <v>95003268010</v>
      </c>
      <c r="C824" s="4" t="s">
        <v>0</v>
      </c>
      <c r="D824" s="16">
        <v>5.3817152558399997</v>
      </c>
    </row>
    <row r="825" spans="1:4" ht="20.25" customHeight="1" x14ac:dyDescent="0.3">
      <c r="A825" s="12" t="s">
        <v>1314</v>
      </c>
      <c r="B825" s="11">
        <v>95003268011</v>
      </c>
      <c r="C825" s="4" t="s">
        <v>0</v>
      </c>
      <c r="D825" s="16">
        <v>4.6793844913199987</v>
      </c>
    </row>
    <row r="826" spans="1:4" ht="20.25" customHeight="1" x14ac:dyDescent="0.3">
      <c r="A826" s="12" t="s">
        <v>1315</v>
      </c>
      <c r="B826" s="11">
        <v>95003268012</v>
      </c>
      <c r="C826" s="4" t="s">
        <v>0</v>
      </c>
      <c r="D826" s="16">
        <v>3.9601300939199997</v>
      </c>
    </row>
    <row r="827" spans="1:4" ht="20.25" customHeight="1" x14ac:dyDescent="0.3">
      <c r="A827" s="12" t="s">
        <v>1316</v>
      </c>
      <c r="B827" s="11">
        <v>95003268013</v>
      </c>
      <c r="C827" s="4" t="s">
        <v>0</v>
      </c>
      <c r="D827" s="16">
        <v>3.2154902472</v>
      </c>
    </row>
    <row r="828" spans="1:4" ht="20.25" customHeight="1" x14ac:dyDescent="0.3">
      <c r="A828" s="12" t="s">
        <v>1317</v>
      </c>
      <c r="B828" s="11">
        <v>95003268014</v>
      </c>
      <c r="C828" s="4" t="s">
        <v>0</v>
      </c>
      <c r="D828" s="16">
        <v>2.3693086031999995</v>
      </c>
    </row>
    <row r="829" spans="1:4" ht="20.25" customHeight="1" x14ac:dyDescent="0.3">
      <c r="A829" s="12" t="s">
        <v>1318</v>
      </c>
      <c r="B829" s="11">
        <v>95003268015</v>
      </c>
      <c r="C829" s="4" t="s">
        <v>0</v>
      </c>
      <c r="D829" s="16">
        <v>1.4892796934399999</v>
      </c>
    </row>
    <row r="830" spans="1:4" ht="20.25" customHeight="1" x14ac:dyDescent="0.3">
      <c r="A830" s="15">
        <v>269832400113</v>
      </c>
      <c r="B830" s="11" t="s">
        <v>1319</v>
      </c>
      <c r="C830" s="4" t="s">
        <v>596</v>
      </c>
      <c r="D830" s="16">
        <v>7.3183497240699982</v>
      </c>
    </row>
    <row r="831" spans="1:4" ht="20.25" customHeight="1" x14ac:dyDescent="0.3">
      <c r="A831" s="15">
        <v>265432407122</v>
      </c>
      <c r="B831" s="11" t="s">
        <v>1320</v>
      </c>
      <c r="C831" s="4" t="s">
        <v>596</v>
      </c>
      <c r="D831" s="16">
        <v>6.1180504117199996</v>
      </c>
    </row>
    <row r="832" spans="1:4" ht="20.25" customHeight="1" x14ac:dyDescent="0.3">
      <c r="A832" s="15">
        <v>265432407123</v>
      </c>
      <c r="B832" s="11" t="s">
        <v>1321</v>
      </c>
      <c r="C832" s="4" t="s">
        <v>596</v>
      </c>
      <c r="D832" s="16">
        <v>4.8889101161599999</v>
      </c>
    </row>
    <row r="833" spans="1:4" ht="20.25" customHeight="1" x14ac:dyDescent="0.3">
      <c r="A833" s="15">
        <v>265432407124</v>
      </c>
      <c r="B833" s="11" t="s">
        <v>1322</v>
      </c>
      <c r="C833" s="4" t="s">
        <v>596</v>
      </c>
      <c r="D833" s="16">
        <v>0.42881849599999994</v>
      </c>
    </row>
    <row r="834" spans="1:4" ht="20.25" customHeight="1" x14ac:dyDescent="0.3">
      <c r="A834" s="15" t="s">
        <v>1324</v>
      </c>
      <c r="B834" s="11" t="s">
        <v>1323</v>
      </c>
      <c r="C834" s="4" t="s">
        <v>596</v>
      </c>
      <c r="D834" s="16">
        <v>4.2236312699999994</v>
      </c>
    </row>
    <row r="835" spans="1:4" ht="20.25" customHeight="1" x14ac:dyDescent="0.3">
      <c r="A835" s="15" t="s">
        <v>1326</v>
      </c>
      <c r="B835" s="11" t="s">
        <v>1325</v>
      </c>
      <c r="C835" s="4" t="s">
        <v>596</v>
      </c>
      <c r="D835" s="16">
        <v>3.4061542499999997</v>
      </c>
    </row>
    <row r="836" spans="1:4" ht="20.25" customHeight="1" x14ac:dyDescent="0.3">
      <c r="A836" s="15" t="s">
        <v>1327</v>
      </c>
      <c r="B836" s="11"/>
      <c r="C836" s="4" t="s">
        <v>596</v>
      </c>
      <c r="D836" s="16">
        <v>12.67486310912</v>
      </c>
    </row>
    <row r="837" spans="1:4" ht="20.25" customHeight="1" x14ac:dyDescent="0.3">
      <c r="A837" s="15" t="s">
        <v>1328</v>
      </c>
      <c r="B837" s="11"/>
      <c r="C837" s="4" t="s">
        <v>596</v>
      </c>
      <c r="D837" s="16">
        <v>12.67486310912</v>
      </c>
    </row>
    <row r="838" spans="1:4" ht="20.25" customHeight="1" x14ac:dyDescent="0.3">
      <c r="A838" s="15" t="s">
        <v>1329</v>
      </c>
      <c r="B838" s="11"/>
      <c r="C838" s="4" t="s">
        <v>596</v>
      </c>
      <c r="D838" s="16">
        <v>11.55932128768</v>
      </c>
    </row>
    <row r="839" spans="1:4" ht="20.25" customHeight="1" x14ac:dyDescent="0.3">
      <c r="A839" s="15" t="s">
        <v>1330</v>
      </c>
      <c r="B839" s="11"/>
      <c r="C839" s="4" t="s">
        <v>596</v>
      </c>
      <c r="D839" s="16">
        <v>10.539946864639999</v>
      </c>
    </row>
    <row r="840" spans="1:4" ht="20.25" customHeight="1" x14ac:dyDescent="0.3">
      <c r="A840" s="15" t="s">
        <v>1331</v>
      </c>
      <c r="B840" s="11"/>
      <c r="C840" s="4" t="s">
        <v>596</v>
      </c>
      <c r="D840" s="16">
        <v>9.4244050431999984</v>
      </c>
    </row>
    <row r="841" spans="1:4" ht="20.25" customHeight="1" x14ac:dyDescent="0.3">
      <c r="A841" s="15" t="s">
        <v>1332</v>
      </c>
      <c r="B841" s="11"/>
      <c r="C841" s="4" t="s">
        <v>596</v>
      </c>
      <c r="D841" s="16">
        <v>8.4627310591999994</v>
      </c>
    </row>
    <row r="842" spans="1:4" ht="20.25" customHeight="1" x14ac:dyDescent="0.3">
      <c r="A842" s="15" t="s">
        <v>1333</v>
      </c>
      <c r="B842" s="11"/>
      <c r="C842" s="4" t="s">
        <v>596</v>
      </c>
      <c r="D842" s="16">
        <v>7.3471892377599994</v>
      </c>
    </row>
    <row r="843" spans="1:4" ht="20.25" customHeight="1" x14ac:dyDescent="0.3">
      <c r="A843" s="15" t="s">
        <v>1334</v>
      </c>
      <c r="B843" s="11"/>
      <c r="C843" s="4" t="s">
        <v>596</v>
      </c>
      <c r="D843" s="16">
        <v>6.4047487334399991</v>
      </c>
    </row>
    <row r="844" spans="1:4" ht="20.25" customHeight="1" x14ac:dyDescent="0.3">
      <c r="A844" s="15" t="s">
        <v>1335</v>
      </c>
      <c r="B844" s="11"/>
      <c r="C844" s="4" t="s">
        <v>596</v>
      </c>
      <c r="D844" s="16">
        <v>5.289206912</v>
      </c>
    </row>
    <row r="845" spans="1:4" ht="20.25" customHeight="1" x14ac:dyDescent="0.3">
      <c r="A845" s="15" t="s">
        <v>1336</v>
      </c>
      <c r="B845" s="11"/>
      <c r="C845" s="4" t="s">
        <v>596</v>
      </c>
      <c r="D845" s="16">
        <v>4.3467664076799997</v>
      </c>
    </row>
    <row r="846" spans="1:4" ht="20.25" customHeight="1" x14ac:dyDescent="0.3">
      <c r="A846" s="15" t="s">
        <v>1337</v>
      </c>
      <c r="B846" s="11"/>
      <c r="C846" s="4" t="s">
        <v>596</v>
      </c>
      <c r="D846" s="16">
        <v>3.3081585049599997</v>
      </c>
    </row>
    <row r="847" spans="1:4" ht="20.25" customHeight="1" x14ac:dyDescent="0.3">
      <c r="A847" s="15" t="s">
        <v>1338</v>
      </c>
      <c r="B847" s="11"/>
      <c r="C847" s="4" t="s">
        <v>596</v>
      </c>
      <c r="D847" s="16">
        <v>2.2887840819200003</v>
      </c>
    </row>
    <row r="848" spans="1:4" ht="20.25" customHeight="1" x14ac:dyDescent="0.3">
      <c r="A848" s="66" t="s">
        <v>1339</v>
      </c>
      <c r="B848" s="11" t="s">
        <v>651</v>
      </c>
      <c r="C848" s="4" t="s">
        <v>596</v>
      </c>
      <c r="D848" s="16">
        <v>26.741486187499998</v>
      </c>
    </row>
    <row r="849" spans="1:4" ht="20.25" customHeight="1" x14ac:dyDescent="0.3">
      <c r="A849" s="66" t="s">
        <v>1340</v>
      </c>
      <c r="B849" s="11" t="s">
        <v>651</v>
      </c>
      <c r="C849" s="4" t="s">
        <v>596</v>
      </c>
      <c r="D849" s="16">
        <v>24.4161395625</v>
      </c>
    </row>
    <row r="850" spans="1:4" ht="20.25" customHeight="1" x14ac:dyDescent="0.3">
      <c r="A850" s="66" t="s">
        <v>1341</v>
      </c>
      <c r="B850" s="11" t="s">
        <v>651</v>
      </c>
      <c r="C850" s="4" t="s">
        <v>596</v>
      </c>
      <c r="D850" s="16">
        <v>22.090792937499998</v>
      </c>
    </row>
    <row r="851" spans="1:4" ht="20.25" customHeight="1" x14ac:dyDescent="0.3">
      <c r="A851" s="66" t="s">
        <v>1342</v>
      </c>
      <c r="B851" s="11" t="s">
        <v>651</v>
      </c>
      <c r="C851" s="4" t="s">
        <v>596</v>
      </c>
      <c r="D851" s="16">
        <v>21.7586005625</v>
      </c>
    </row>
    <row r="852" spans="1:4" ht="20.25" customHeight="1" x14ac:dyDescent="0.3">
      <c r="A852" s="66" t="s">
        <v>1343</v>
      </c>
      <c r="B852" s="11" t="s">
        <v>651</v>
      </c>
      <c r="C852" s="4" t="s">
        <v>596</v>
      </c>
      <c r="D852" s="16">
        <v>19.300376987499998</v>
      </c>
    </row>
    <row r="853" spans="1:4" ht="20.25" customHeight="1" x14ac:dyDescent="0.3">
      <c r="A853" s="66" t="s">
        <v>1344</v>
      </c>
      <c r="B853" s="11" t="s">
        <v>651</v>
      </c>
      <c r="C853" s="4" t="s">
        <v>596</v>
      </c>
      <c r="D853" s="16">
        <v>17.7722920625</v>
      </c>
    </row>
    <row r="854" spans="1:4" ht="20.25" customHeight="1" x14ac:dyDescent="0.3">
      <c r="A854" s="66" t="s">
        <v>1345</v>
      </c>
      <c r="B854" s="11" t="s">
        <v>651</v>
      </c>
      <c r="C854" s="4" t="s">
        <v>596</v>
      </c>
      <c r="D854" s="16">
        <v>15.7791378125</v>
      </c>
    </row>
    <row r="855" spans="1:4" ht="20.25" customHeight="1" x14ac:dyDescent="0.3">
      <c r="A855" s="66" t="s">
        <v>1346</v>
      </c>
      <c r="B855" s="11" t="s">
        <v>651</v>
      </c>
      <c r="C855" s="4" t="s">
        <v>596</v>
      </c>
      <c r="D855" s="16">
        <v>13.7859835625</v>
      </c>
    </row>
    <row r="856" spans="1:4" ht="20.25" customHeight="1" x14ac:dyDescent="0.3">
      <c r="A856" s="66" t="s">
        <v>1347</v>
      </c>
      <c r="B856" s="11" t="s">
        <v>651</v>
      </c>
      <c r="C856" s="4" t="s">
        <v>596</v>
      </c>
      <c r="D856" s="16">
        <v>11.7928293125</v>
      </c>
    </row>
    <row r="857" spans="1:4" ht="20.25" customHeight="1" x14ac:dyDescent="0.3">
      <c r="A857" s="66" t="s">
        <v>1348</v>
      </c>
      <c r="B857" s="11" t="s">
        <v>651</v>
      </c>
      <c r="C857" s="4" t="s">
        <v>596</v>
      </c>
      <c r="D857" s="16">
        <v>9.7996750625000004</v>
      </c>
    </row>
    <row r="858" spans="1:4" ht="20.25" customHeight="1" x14ac:dyDescent="0.3">
      <c r="A858" s="66" t="s">
        <v>1349</v>
      </c>
      <c r="B858" s="11" t="s">
        <v>651</v>
      </c>
      <c r="C858" s="4" t="s">
        <v>596</v>
      </c>
      <c r="D858" s="16">
        <v>7.8065208124999996</v>
      </c>
    </row>
    <row r="859" spans="1:4" ht="20.25" customHeight="1" x14ac:dyDescent="0.3">
      <c r="A859" s="66" t="s">
        <v>1350</v>
      </c>
      <c r="B859" s="11" t="s">
        <v>651</v>
      </c>
      <c r="C859" s="4" t="s">
        <v>596</v>
      </c>
      <c r="D859" s="16">
        <v>5.8133665624999997</v>
      </c>
    </row>
    <row r="860" spans="1:4" ht="20.25" customHeight="1" x14ac:dyDescent="0.3">
      <c r="A860" s="15" t="s">
        <v>1351</v>
      </c>
      <c r="B860" s="11" t="s">
        <v>655</v>
      </c>
      <c r="C860" s="4" t="s">
        <v>596</v>
      </c>
      <c r="D860" s="16">
        <v>15.781070077439999</v>
      </c>
    </row>
    <row r="861" spans="1:4" ht="20.25" customHeight="1" x14ac:dyDescent="0.3">
      <c r="A861" s="15" t="s">
        <v>1352</v>
      </c>
      <c r="B861" s="11" t="s">
        <v>655</v>
      </c>
      <c r="C861" s="4" t="s">
        <v>596</v>
      </c>
      <c r="D861" s="16">
        <v>14.905946751999998</v>
      </c>
    </row>
    <row r="862" spans="1:4" ht="20.25" customHeight="1" x14ac:dyDescent="0.3">
      <c r="A862" s="15" t="s">
        <v>1353</v>
      </c>
      <c r="B862" s="11"/>
      <c r="C862" s="4" t="s">
        <v>596</v>
      </c>
      <c r="D862" s="16">
        <v>12.67486310912</v>
      </c>
    </row>
    <row r="863" spans="1:4" ht="20.25" customHeight="1" x14ac:dyDescent="0.3">
      <c r="A863" s="15" t="s">
        <v>1354</v>
      </c>
      <c r="B863" s="11"/>
      <c r="C863" s="4" t="s">
        <v>596</v>
      </c>
      <c r="D863" s="16">
        <v>12.67486310912</v>
      </c>
    </row>
    <row r="864" spans="1:4" ht="20.25" customHeight="1" x14ac:dyDescent="0.3">
      <c r="A864" s="15" t="s">
        <v>1355</v>
      </c>
      <c r="B864" s="11"/>
      <c r="C864" s="4" t="s">
        <v>596</v>
      </c>
      <c r="D864" s="16">
        <v>11.19388517376</v>
      </c>
    </row>
    <row r="865" spans="1:4" ht="20.25" customHeight="1" x14ac:dyDescent="0.3">
      <c r="A865" s="15" t="s">
        <v>1356</v>
      </c>
      <c r="B865" s="11"/>
      <c r="C865" s="4" t="s">
        <v>596</v>
      </c>
      <c r="D865" s="16">
        <v>9.991792693759999</v>
      </c>
    </row>
    <row r="866" spans="1:4" ht="20.25" customHeight="1" x14ac:dyDescent="0.3">
      <c r="A866" s="15" t="s">
        <v>1357</v>
      </c>
      <c r="B866" s="11"/>
      <c r="C866" s="4" t="s">
        <v>596</v>
      </c>
      <c r="D866" s="16">
        <v>8.7800834739199995</v>
      </c>
    </row>
    <row r="867" spans="1:4" ht="20.25" customHeight="1" x14ac:dyDescent="0.3">
      <c r="A867" s="15" t="s">
        <v>1358</v>
      </c>
      <c r="B867" s="11"/>
      <c r="C867" s="4" t="s">
        <v>596</v>
      </c>
      <c r="D867" s="16">
        <v>7.5779909939199994</v>
      </c>
    </row>
    <row r="868" spans="1:4" ht="20.25" customHeight="1" x14ac:dyDescent="0.3">
      <c r="A868" s="15" t="s">
        <v>1359</v>
      </c>
      <c r="B868" s="11"/>
      <c r="C868" s="4" t="s">
        <v>596</v>
      </c>
      <c r="D868" s="16">
        <v>6.36628177408</v>
      </c>
    </row>
    <row r="869" spans="1:4" ht="20.25" customHeight="1" x14ac:dyDescent="0.3">
      <c r="A869" s="15" t="s">
        <v>1360</v>
      </c>
      <c r="B869" s="11"/>
      <c r="C869" s="4" t="s">
        <v>596</v>
      </c>
      <c r="D869" s="16">
        <v>5.1641892940799998</v>
      </c>
    </row>
    <row r="870" spans="1:4" ht="20.25" customHeight="1" x14ac:dyDescent="0.3">
      <c r="A870" s="15" t="s">
        <v>1361</v>
      </c>
      <c r="B870" s="11"/>
      <c r="C870" s="4" t="s">
        <v>596</v>
      </c>
      <c r="D870" s="16">
        <v>3.9428633343999997</v>
      </c>
    </row>
    <row r="871" spans="1:4" ht="20.25" customHeight="1" x14ac:dyDescent="0.3">
      <c r="A871" s="15" t="s">
        <v>1362</v>
      </c>
      <c r="B871" s="11"/>
      <c r="C871" s="4" t="s">
        <v>596</v>
      </c>
      <c r="D871" s="16">
        <v>2.7503875942399993</v>
      </c>
    </row>
    <row r="872" spans="1:4" ht="20.25" customHeight="1" x14ac:dyDescent="0.3">
      <c r="A872" s="15" t="s">
        <v>1363</v>
      </c>
      <c r="B872" s="11" t="s">
        <v>655</v>
      </c>
      <c r="C872" s="4" t="s">
        <v>596</v>
      </c>
      <c r="D872" s="16">
        <v>8.2102315482199995</v>
      </c>
    </row>
    <row r="873" spans="1:4" ht="20.25" customHeight="1" x14ac:dyDescent="0.3">
      <c r="A873" s="15" t="s">
        <v>1365</v>
      </c>
      <c r="B873" s="11" t="s">
        <v>1364</v>
      </c>
      <c r="C873" s="4" t="s">
        <v>596</v>
      </c>
      <c r="D873" s="16">
        <v>9.9641696961399973</v>
      </c>
    </row>
    <row r="874" spans="1:4" ht="20.25" customHeight="1" x14ac:dyDescent="0.3">
      <c r="A874" s="15" t="s">
        <v>1366</v>
      </c>
      <c r="B874" s="11" t="s">
        <v>1364</v>
      </c>
      <c r="C874" s="4" t="s">
        <v>596</v>
      </c>
      <c r="D874" s="16">
        <v>9.7947904926299962</v>
      </c>
    </row>
    <row r="875" spans="1:4" ht="20.25" customHeight="1" x14ac:dyDescent="0.3">
      <c r="A875" s="15" t="s">
        <v>1367</v>
      </c>
      <c r="B875" s="11" t="s">
        <v>1364</v>
      </c>
      <c r="C875" s="4" t="s">
        <v>596</v>
      </c>
      <c r="D875" s="16">
        <v>7.1077708600200005</v>
      </c>
    </row>
    <row r="876" spans="1:4" ht="20.25" customHeight="1" x14ac:dyDescent="0.3">
      <c r="A876" s="15" t="s">
        <v>1368</v>
      </c>
      <c r="B876" s="11" t="s">
        <v>1364</v>
      </c>
      <c r="C876" s="4" t="s">
        <v>596</v>
      </c>
      <c r="D876" s="16">
        <v>10.882242698319999</v>
      </c>
    </row>
    <row r="877" spans="1:4" ht="20.25" customHeight="1" x14ac:dyDescent="0.3">
      <c r="A877" s="15" t="s">
        <v>1369</v>
      </c>
      <c r="B877" s="11" t="s">
        <v>1364</v>
      </c>
      <c r="C877" s="4" t="s">
        <v>596</v>
      </c>
      <c r="D877" s="16">
        <v>9.4612191253999995</v>
      </c>
    </row>
    <row r="878" spans="1:4" ht="20.25" customHeight="1" x14ac:dyDescent="0.3">
      <c r="A878" s="15" t="s">
        <v>1370</v>
      </c>
      <c r="B878" s="11" t="s">
        <v>1364</v>
      </c>
      <c r="C878" s="4" t="s">
        <v>596</v>
      </c>
      <c r="D878" s="16">
        <v>8.2463544127999988</v>
      </c>
    </row>
    <row r="879" spans="1:4" ht="20.25" customHeight="1" x14ac:dyDescent="0.3">
      <c r="A879" s="15" t="s">
        <v>1371</v>
      </c>
      <c r="B879" s="11" t="s">
        <v>1364</v>
      </c>
      <c r="C879" s="4" t="s">
        <v>596</v>
      </c>
      <c r="D879" s="16">
        <v>7.0314897001999999</v>
      </c>
    </row>
    <row r="880" spans="1:4" ht="20.25" customHeight="1" x14ac:dyDescent="0.3">
      <c r="A880" s="15" t="s">
        <v>1372</v>
      </c>
      <c r="B880" s="11" t="s">
        <v>1364</v>
      </c>
      <c r="C880" s="4" t="s">
        <v>596</v>
      </c>
      <c r="D880" s="16">
        <v>5.8239878040399997</v>
      </c>
    </row>
    <row r="881" spans="1:4" ht="20.25" customHeight="1" x14ac:dyDescent="0.3">
      <c r="A881" s="15" t="s">
        <v>1373</v>
      </c>
      <c r="B881" s="11" t="s">
        <v>1364</v>
      </c>
      <c r="C881" s="4" t="s">
        <v>596</v>
      </c>
      <c r="D881" s="16">
        <v>4.6017602749999993</v>
      </c>
    </row>
    <row r="882" spans="1:4" ht="20.25" customHeight="1" x14ac:dyDescent="0.3">
      <c r="A882" s="15" t="s">
        <v>1374</v>
      </c>
      <c r="B882" s="11" t="s">
        <v>1364</v>
      </c>
      <c r="C882" s="4" t="s">
        <v>596</v>
      </c>
      <c r="D882" s="16">
        <v>3.3868955623999994</v>
      </c>
    </row>
    <row r="883" spans="1:4" ht="20.25" customHeight="1" x14ac:dyDescent="0.3">
      <c r="A883" s="15" t="s">
        <v>1375</v>
      </c>
      <c r="B883" s="11" t="s">
        <v>1364</v>
      </c>
      <c r="C883" s="4" t="s">
        <v>596</v>
      </c>
      <c r="D883" s="16">
        <v>2.1720308498000001</v>
      </c>
    </row>
    <row r="884" spans="1:4" ht="20.25" customHeight="1" x14ac:dyDescent="0.3">
      <c r="A884" s="15" t="s">
        <v>1376</v>
      </c>
      <c r="B884" s="11" t="s">
        <v>1364</v>
      </c>
      <c r="C884" s="4" t="s">
        <v>596</v>
      </c>
      <c r="D884" s="16">
        <v>0.95271242400000011</v>
      </c>
    </row>
    <row r="885" spans="1:4" ht="20.25" customHeight="1" x14ac:dyDescent="0.3">
      <c r="A885" s="15" t="s">
        <v>1377</v>
      </c>
      <c r="B885" s="11" t="s">
        <v>1364</v>
      </c>
      <c r="C885" s="4" t="s">
        <v>596</v>
      </c>
      <c r="D885" s="16">
        <v>0.87609932849999983</v>
      </c>
    </row>
    <row r="886" spans="1:4" ht="20.25" customHeight="1" x14ac:dyDescent="0.3">
      <c r="A886" s="15" t="s">
        <v>1378</v>
      </c>
      <c r="B886" s="11" t="s">
        <v>661</v>
      </c>
      <c r="C886" s="4" t="s">
        <v>596</v>
      </c>
      <c r="D886" s="16">
        <v>17.295361740750003</v>
      </c>
    </row>
    <row r="887" spans="1:4" ht="20.25" customHeight="1" x14ac:dyDescent="0.3">
      <c r="A887" s="15" t="s">
        <v>1379</v>
      </c>
      <c r="B887" s="11" t="s">
        <v>661</v>
      </c>
      <c r="C887" s="4" t="s">
        <v>596</v>
      </c>
      <c r="D887" s="16">
        <v>16.128222134640001</v>
      </c>
    </row>
    <row r="888" spans="1:4" ht="20.25" customHeight="1" x14ac:dyDescent="0.3">
      <c r="A888" s="15" t="s">
        <v>1380</v>
      </c>
      <c r="B888" s="11" t="s">
        <v>661</v>
      </c>
      <c r="C888" s="4" t="s">
        <v>596</v>
      </c>
      <c r="D888" s="16">
        <v>13.775837164319999</v>
      </c>
    </row>
    <row r="889" spans="1:4" ht="20.25" customHeight="1" x14ac:dyDescent="0.3">
      <c r="A889" s="15" t="s">
        <v>1381</v>
      </c>
      <c r="B889" s="11" t="s">
        <v>661</v>
      </c>
      <c r="C889" s="4" t="s">
        <v>596</v>
      </c>
      <c r="D889" s="16">
        <v>13.4348706465</v>
      </c>
    </row>
    <row r="890" spans="1:4" ht="20.25" customHeight="1" x14ac:dyDescent="0.3">
      <c r="A890" s="15" t="s">
        <v>1382</v>
      </c>
      <c r="B890" s="11" t="s">
        <v>661</v>
      </c>
      <c r="C890" s="4" t="s">
        <v>596</v>
      </c>
      <c r="D890" s="16">
        <v>12.223381637999999</v>
      </c>
    </row>
    <row r="891" spans="1:4" ht="20.25" customHeight="1" x14ac:dyDescent="0.3">
      <c r="A891" s="15" t="s">
        <v>1383</v>
      </c>
      <c r="B891" s="11" t="s">
        <v>661</v>
      </c>
      <c r="C891" s="4" t="s">
        <v>596</v>
      </c>
      <c r="D891" s="16">
        <v>11.029974555000001</v>
      </c>
    </row>
    <row r="892" spans="1:4" ht="20.25" customHeight="1" x14ac:dyDescent="0.3">
      <c r="A892" s="15" t="s">
        <v>1384</v>
      </c>
      <c r="B892" s="11" t="s">
        <v>661</v>
      </c>
      <c r="C892" s="4" t="s">
        <v>596</v>
      </c>
      <c r="D892" s="16">
        <v>9.8365674720000005</v>
      </c>
    </row>
    <row r="893" spans="1:4" ht="20.25" customHeight="1" x14ac:dyDescent="0.3">
      <c r="A893" s="15" t="s">
        <v>1385</v>
      </c>
      <c r="B893" s="11" t="s">
        <v>661</v>
      </c>
      <c r="C893" s="4" t="s">
        <v>596</v>
      </c>
      <c r="D893" s="16">
        <v>8.6431603890000002</v>
      </c>
    </row>
    <row r="894" spans="1:4" ht="20.25" customHeight="1" x14ac:dyDescent="0.3">
      <c r="A894" s="15" t="s">
        <v>1386</v>
      </c>
      <c r="B894" s="11" t="s">
        <v>661</v>
      </c>
      <c r="C894" s="4" t="s">
        <v>596</v>
      </c>
      <c r="D894" s="16">
        <v>7.4316713804999992</v>
      </c>
    </row>
    <row r="895" spans="1:4" ht="20.25" customHeight="1" x14ac:dyDescent="0.3">
      <c r="A895" s="66" t="s">
        <v>1387</v>
      </c>
      <c r="B895" s="11" t="s">
        <v>661</v>
      </c>
      <c r="C895" s="4" t="s">
        <v>596</v>
      </c>
      <c r="D895" s="16">
        <v>6.2382642974999998</v>
      </c>
    </row>
    <row r="896" spans="1:4" ht="20.25" customHeight="1" x14ac:dyDescent="0.3">
      <c r="A896" s="66" t="s">
        <v>1388</v>
      </c>
      <c r="B896" s="11" t="s">
        <v>661</v>
      </c>
      <c r="C896" s="4" t="s">
        <v>596</v>
      </c>
      <c r="D896" s="16">
        <v>5.0448572145000004</v>
      </c>
    </row>
    <row r="897" spans="1:4" ht="20.25" customHeight="1" x14ac:dyDescent="0.3">
      <c r="A897" s="66" t="s">
        <v>1389</v>
      </c>
      <c r="B897" s="11" t="s">
        <v>661</v>
      </c>
      <c r="C897" s="4" t="s">
        <v>596</v>
      </c>
      <c r="D897" s="16">
        <v>3.8514501315000005</v>
      </c>
    </row>
    <row r="898" spans="1:4" ht="20.25" customHeight="1" x14ac:dyDescent="0.3">
      <c r="A898" s="66" t="s">
        <v>1390</v>
      </c>
      <c r="B898" s="11" t="s">
        <v>661</v>
      </c>
      <c r="C898" s="4" t="s">
        <v>596</v>
      </c>
      <c r="D898" s="16">
        <v>2.639961123</v>
      </c>
    </row>
    <row r="899" spans="1:4" ht="20.25" customHeight="1" x14ac:dyDescent="0.3">
      <c r="A899" s="15" t="s">
        <v>1391</v>
      </c>
      <c r="B899" s="11" t="s">
        <v>661</v>
      </c>
      <c r="C899" s="4" t="s">
        <v>596</v>
      </c>
      <c r="D899" s="16">
        <v>10.89436011375</v>
      </c>
    </row>
    <row r="900" spans="1:4" ht="20.25" customHeight="1" x14ac:dyDescent="0.3">
      <c r="A900" s="15" t="s">
        <v>1392</v>
      </c>
      <c r="B900" s="11" t="s">
        <v>661</v>
      </c>
      <c r="C900" s="4" t="s">
        <v>596</v>
      </c>
      <c r="D900" s="16">
        <v>8.7885664727999995</v>
      </c>
    </row>
    <row r="901" spans="1:4" ht="20.25" customHeight="1" x14ac:dyDescent="0.3">
      <c r="A901" s="66" t="s">
        <v>1393</v>
      </c>
      <c r="B901" s="11" t="s">
        <v>661</v>
      </c>
      <c r="C901" s="4" t="s">
        <v>596</v>
      </c>
      <c r="D901" s="16">
        <v>4.4489838576000009</v>
      </c>
    </row>
    <row r="902" spans="1:4" ht="20.25" customHeight="1" x14ac:dyDescent="0.3">
      <c r="A902" s="66" t="s">
        <v>1394</v>
      </c>
      <c r="B902" s="11" t="s">
        <v>661</v>
      </c>
      <c r="C902" s="4" t="s">
        <v>596</v>
      </c>
      <c r="D902" s="16">
        <v>10.341649856250001</v>
      </c>
    </row>
    <row r="903" spans="1:4" ht="20.25" customHeight="1" x14ac:dyDescent="0.3">
      <c r="A903" s="15" t="s">
        <v>1395</v>
      </c>
      <c r="B903" s="11" t="s">
        <v>657</v>
      </c>
      <c r="C903" s="4" t="s">
        <v>596</v>
      </c>
      <c r="D903" s="16">
        <v>17.295361740750003</v>
      </c>
    </row>
    <row r="904" spans="1:4" ht="20.25" customHeight="1" x14ac:dyDescent="0.3">
      <c r="A904" s="15" t="s">
        <v>1396</v>
      </c>
      <c r="B904" s="11" t="s">
        <v>657</v>
      </c>
      <c r="C904" s="4" t="s">
        <v>596</v>
      </c>
      <c r="D904" s="16">
        <v>16.915641305249999</v>
      </c>
    </row>
    <row r="905" spans="1:4" ht="20.25" customHeight="1" x14ac:dyDescent="0.3">
      <c r="A905" s="15" t="s">
        <v>1397</v>
      </c>
      <c r="B905" s="11" t="s">
        <v>657</v>
      </c>
      <c r="C905" s="4" t="s">
        <v>596</v>
      </c>
      <c r="D905" s="16">
        <v>14.736769282499999</v>
      </c>
    </row>
    <row r="906" spans="1:4" ht="20.25" customHeight="1" x14ac:dyDescent="0.3">
      <c r="A906" s="15" t="s">
        <v>1398</v>
      </c>
      <c r="B906" s="11" t="s">
        <v>657</v>
      </c>
      <c r="C906" s="4" t="s">
        <v>596</v>
      </c>
      <c r="D906" s="16">
        <v>13.88657232896</v>
      </c>
    </row>
    <row r="907" spans="1:4" ht="20.25" customHeight="1" x14ac:dyDescent="0.3">
      <c r="A907" s="15" t="s">
        <v>1399</v>
      </c>
      <c r="B907" s="11" t="s">
        <v>657</v>
      </c>
      <c r="C907" s="4" t="s">
        <v>596</v>
      </c>
      <c r="D907" s="16">
        <v>12.097858718719998</v>
      </c>
    </row>
    <row r="908" spans="1:4" ht="20.25" customHeight="1" x14ac:dyDescent="0.3">
      <c r="A908" s="15" t="s">
        <v>1400</v>
      </c>
      <c r="B908" s="11" t="s">
        <v>657</v>
      </c>
      <c r="C908" s="4" t="s">
        <v>596</v>
      </c>
      <c r="D908" s="16">
        <v>10.25144466944</v>
      </c>
    </row>
    <row r="909" spans="1:4" ht="20.25" customHeight="1" x14ac:dyDescent="0.3">
      <c r="A909" s="15" t="s">
        <v>1401</v>
      </c>
      <c r="B909" s="11" t="s">
        <v>657</v>
      </c>
      <c r="C909" s="4" t="s">
        <v>596</v>
      </c>
      <c r="D909" s="16">
        <v>8.4242640998400002</v>
      </c>
    </row>
    <row r="910" spans="1:4" ht="20.25" customHeight="1" x14ac:dyDescent="0.3">
      <c r="A910" s="15" t="s">
        <v>1402</v>
      </c>
      <c r="B910" s="11" t="s">
        <v>657</v>
      </c>
      <c r="C910" s="4" t="s">
        <v>596</v>
      </c>
      <c r="D910" s="16">
        <v>6.6067002700800002</v>
      </c>
    </row>
    <row r="911" spans="1:4" ht="20.25" customHeight="1" x14ac:dyDescent="0.3">
      <c r="A911" s="66" t="s">
        <v>1403</v>
      </c>
      <c r="B911" s="11" t="s">
        <v>657</v>
      </c>
      <c r="C911" s="4" t="s">
        <v>596</v>
      </c>
      <c r="D911" s="16">
        <v>4.7891364403199992</v>
      </c>
    </row>
    <row r="912" spans="1:4" ht="20.25" customHeight="1" x14ac:dyDescent="0.3">
      <c r="A912" s="66" t="s">
        <v>1404</v>
      </c>
      <c r="B912" s="11" t="s">
        <v>657</v>
      </c>
      <c r="C912" s="4" t="s">
        <v>596</v>
      </c>
      <c r="D912" s="16">
        <v>2.97157261056</v>
      </c>
    </row>
    <row r="913" spans="1:4" ht="20.25" customHeight="1" x14ac:dyDescent="0.3">
      <c r="A913" s="15" t="s">
        <v>1405</v>
      </c>
      <c r="B913" s="11" t="s">
        <v>657</v>
      </c>
      <c r="C913" s="4" t="s">
        <v>596</v>
      </c>
      <c r="D913" s="16">
        <v>10.89436011375</v>
      </c>
    </row>
    <row r="914" spans="1:4" ht="20.25" customHeight="1" x14ac:dyDescent="0.3">
      <c r="A914" s="15" t="s">
        <v>1406</v>
      </c>
      <c r="B914" s="11" t="s">
        <v>657</v>
      </c>
      <c r="C914" s="4" t="s">
        <v>596</v>
      </c>
      <c r="D914" s="16">
        <v>10.89436011375</v>
      </c>
    </row>
    <row r="915" spans="1:4" ht="20.25" customHeight="1" x14ac:dyDescent="0.3">
      <c r="A915" s="66" t="s">
        <v>1407</v>
      </c>
      <c r="B915" s="11" t="s">
        <v>657</v>
      </c>
      <c r="C915" s="4" t="s">
        <v>596</v>
      </c>
      <c r="D915" s="16">
        <v>5.5149872775000004</v>
      </c>
    </row>
    <row r="916" spans="1:4" ht="20.25" customHeight="1" x14ac:dyDescent="0.3">
      <c r="A916" s="15" t="s">
        <v>1409</v>
      </c>
      <c r="B916" s="11" t="s">
        <v>1408</v>
      </c>
      <c r="C916" s="4" t="s">
        <v>596</v>
      </c>
      <c r="D916" s="16">
        <v>15.781070077439999</v>
      </c>
    </row>
    <row r="917" spans="1:4" ht="20.25" customHeight="1" x14ac:dyDescent="0.3">
      <c r="A917" s="15" t="s">
        <v>1410</v>
      </c>
      <c r="B917" s="11" t="s">
        <v>1408</v>
      </c>
      <c r="C917" s="4" t="s">
        <v>596</v>
      </c>
      <c r="D917" s="16">
        <v>15.021347630079999</v>
      </c>
    </row>
    <row r="918" spans="1:4" ht="20.25" customHeight="1" x14ac:dyDescent="0.3">
      <c r="A918" s="15" t="s">
        <v>1411</v>
      </c>
      <c r="B918" s="11" t="s">
        <v>1408</v>
      </c>
      <c r="C918" s="4" t="s">
        <v>596</v>
      </c>
      <c r="D918" s="16">
        <v>12.67486310912</v>
      </c>
    </row>
    <row r="919" spans="1:4" ht="20.25" customHeight="1" x14ac:dyDescent="0.3">
      <c r="A919" s="15" t="s">
        <v>1412</v>
      </c>
      <c r="B919" s="11" t="s">
        <v>1408</v>
      </c>
      <c r="C919" s="4" t="s">
        <v>596</v>
      </c>
      <c r="D919" s="16">
        <v>12.67486310912</v>
      </c>
    </row>
    <row r="920" spans="1:4" ht="20.25" customHeight="1" x14ac:dyDescent="0.3">
      <c r="A920" s="15" t="s">
        <v>1413</v>
      </c>
      <c r="B920" s="11" t="s">
        <v>1408</v>
      </c>
      <c r="C920" s="4" t="s">
        <v>596</v>
      </c>
      <c r="D920" s="16">
        <v>11.834004995999999</v>
      </c>
    </row>
    <row r="921" spans="1:4" ht="20.25" customHeight="1" x14ac:dyDescent="0.3">
      <c r="A921" s="15" t="s">
        <v>1414</v>
      </c>
      <c r="B921" s="11" t="s">
        <v>1408</v>
      </c>
      <c r="C921" s="4" t="s">
        <v>596</v>
      </c>
      <c r="D921" s="16">
        <v>10.112695178400001</v>
      </c>
    </row>
    <row r="922" spans="1:4" ht="20.25" customHeight="1" x14ac:dyDescent="0.3">
      <c r="A922" s="15" t="s">
        <v>1415</v>
      </c>
      <c r="B922" s="11" t="s">
        <v>1408</v>
      </c>
      <c r="C922" s="4" t="s">
        <v>596</v>
      </c>
      <c r="D922" s="16">
        <v>8.4989672243999994</v>
      </c>
    </row>
    <row r="923" spans="1:4" ht="20.25" customHeight="1" x14ac:dyDescent="0.3">
      <c r="A923" s="66" t="s">
        <v>1416</v>
      </c>
      <c r="B923" s="11" t="s">
        <v>1408</v>
      </c>
      <c r="C923" s="4" t="s">
        <v>596</v>
      </c>
      <c r="D923" s="16">
        <v>6.0585460992</v>
      </c>
    </row>
    <row r="924" spans="1:4" ht="20.25" customHeight="1" x14ac:dyDescent="0.3">
      <c r="A924" s="66" t="s">
        <v>1417</v>
      </c>
      <c r="B924" s="11" t="s">
        <v>1408</v>
      </c>
      <c r="C924" s="4" t="s">
        <v>596</v>
      </c>
      <c r="D924" s="16">
        <v>4.8083699199999996</v>
      </c>
    </row>
    <row r="925" spans="1:4" ht="20.25" customHeight="1" x14ac:dyDescent="0.3">
      <c r="A925" s="66" t="s">
        <v>1418</v>
      </c>
      <c r="B925" s="11" t="s">
        <v>1408</v>
      </c>
      <c r="C925" s="4" t="s">
        <v>596</v>
      </c>
      <c r="D925" s="16">
        <v>3.4620263423999997</v>
      </c>
    </row>
    <row r="926" spans="1:4" ht="20.25" customHeight="1" x14ac:dyDescent="0.3">
      <c r="A926" s="66" t="s">
        <v>1419</v>
      </c>
      <c r="B926" s="11" t="s">
        <v>1408</v>
      </c>
      <c r="C926" s="4" t="s">
        <v>596</v>
      </c>
      <c r="D926" s="16">
        <v>2.0772158054399998</v>
      </c>
    </row>
    <row r="927" spans="1:4" ht="20.25" customHeight="1" x14ac:dyDescent="0.3">
      <c r="A927" s="15" t="s">
        <v>1420</v>
      </c>
      <c r="B927" s="11" t="s">
        <v>1408</v>
      </c>
      <c r="C927" s="4" t="s">
        <v>596</v>
      </c>
      <c r="D927" s="16">
        <v>1.18584251685</v>
      </c>
    </row>
    <row r="928" spans="1:4" ht="20.25" customHeight="1" x14ac:dyDescent="0.3">
      <c r="A928" s="15" t="s">
        <v>1421</v>
      </c>
      <c r="B928" s="11" t="s">
        <v>1408</v>
      </c>
      <c r="C928" s="4" t="s">
        <v>596</v>
      </c>
      <c r="D928" s="16">
        <v>8.2102315482199995</v>
      </c>
    </row>
    <row r="929" spans="1:4" ht="20.25" customHeight="1" x14ac:dyDescent="0.3">
      <c r="A929" s="15">
        <v>265432400143</v>
      </c>
      <c r="B929" s="11" t="s">
        <v>1422</v>
      </c>
      <c r="C929" s="4" t="s">
        <v>596</v>
      </c>
      <c r="D929" s="16">
        <v>7.812241876799999</v>
      </c>
    </row>
    <row r="930" spans="1:4" ht="20.25" customHeight="1" x14ac:dyDescent="0.3">
      <c r="A930" s="15">
        <v>265432407177</v>
      </c>
      <c r="B930" s="11" t="s">
        <v>1423</v>
      </c>
      <c r="C930" s="4" t="s">
        <v>596</v>
      </c>
      <c r="D930" s="16">
        <v>7.4946710687999998</v>
      </c>
    </row>
    <row r="931" spans="1:4" ht="20.25" customHeight="1" x14ac:dyDescent="0.3">
      <c r="A931" s="15">
        <v>265432407178</v>
      </c>
      <c r="B931" s="11" t="s">
        <v>1424</v>
      </c>
      <c r="C931" s="4" t="s">
        <v>596</v>
      </c>
      <c r="D931" s="16">
        <v>5.8975970625000009</v>
      </c>
    </row>
    <row r="932" spans="1:4" ht="20.25" customHeight="1" x14ac:dyDescent="0.3">
      <c r="A932" s="15">
        <v>265432407179</v>
      </c>
      <c r="B932" s="11" t="s">
        <v>1425</v>
      </c>
      <c r="C932" s="4" t="s">
        <v>596</v>
      </c>
      <c r="D932" s="16">
        <v>0.42881849599999994</v>
      </c>
    </row>
    <row r="933" spans="1:4" ht="20.25" customHeight="1" x14ac:dyDescent="0.3">
      <c r="A933" s="68" t="s">
        <v>1427</v>
      </c>
      <c r="B933" s="67" t="s">
        <v>1426</v>
      </c>
      <c r="C933" s="59" t="s">
        <v>1140</v>
      </c>
      <c r="D933" s="69">
        <v>4.6030982855199998</v>
      </c>
    </row>
    <row r="934" spans="1:4" ht="20.25" customHeight="1" x14ac:dyDescent="0.3">
      <c r="A934" s="68" t="s">
        <v>1429</v>
      </c>
      <c r="B934" s="67" t="s">
        <v>1428</v>
      </c>
      <c r="C934" s="59" t="s">
        <v>1140</v>
      </c>
      <c r="D934" s="69">
        <v>4.05664108682</v>
      </c>
    </row>
    <row r="935" spans="1:4" ht="20.25" customHeight="1" x14ac:dyDescent="0.3">
      <c r="A935" s="68" t="s">
        <v>1431</v>
      </c>
      <c r="B935" s="67" t="s">
        <v>1430</v>
      </c>
      <c r="C935" s="59" t="s">
        <v>1140</v>
      </c>
      <c r="D935" s="69">
        <v>3.8766316566599999</v>
      </c>
    </row>
    <row r="936" spans="1:4" ht="20.25" customHeight="1" x14ac:dyDescent="0.3">
      <c r="A936" s="68" t="s">
        <v>1433</v>
      </c>
      <c r="B936" s="67" t="s">
        <v>1432</v>
      </c>
      <c r="C936" s="59" t="s">
        <v>1140</v>
      </c>
      <c r="D936" s="69">
        <v>4.0240807060999995</v>
      </c>
    </row>
    <row r="937" spans="1:4" ht="20.25" customHeight="1" x14ac:dyDescent="0.3">
      <c r="A937" s="68" t="s">
        <v>1435</v>
      </c>
      <c r="B937" s="67" t="s">
        <v>1434</v>
      </c>
      <c r="C937" s="59" t="s">
        <v>1140</v>
      </c>
      <c r="D937" s="69">
        <v>3.42979593957</v>
      </c>
    </row>
    <row r="938" spans="1:4" ht="20.25" customHeight="1" x14ac:dyDescent="0.3">
      <c r="A938" s="68" t="s">
        <v>1437</v>
      </c>
      <c r="B938" s="67" t="s">
        <v>1436</v>
      </c>
      <c r="C938" s="59" t="s">
        <v>1140</v>
      </c>
      <c r="D938" s="69">
        <v>3.0514908731999997</v>
      </c>
    </row>
    <row r="939" spans="1:4" ht="20.25" customHeight="1" x14ac:dyDescent="0.3">
      <c r="A939" s="68" t="s">
        <v>1439</v>
      </c>
      <c r="B939" s="67" t="s">
        <v>1438</v>
      </c>
      <c r="C939" s="59" t="s">
        <v>1140</v>
      </c>
      <c r="D939" s="69">
        <v>2.7532248479999999</v>
      </c>
    </row>
    <row r="940" spans="1:4" ht="20.25" customHeight="1" x14ac:dyDescent="0.3">
      <c r="A940" s="68" t="s">
        <v>1441</v>
      </c>
      <c r="B940" s="67" t="s">
        <v>1440</v>
      </c>
      <c r="C940" s="59" t="s">
        <v>1140</v>
      </c>
      <c r="D940" s="69">
        <v>4.5323802950999994</v>
      </c>
    </row>
    <row r="941" spans="1:4" ht="20.25" customHeight="1" x14ac:dyDescent="0.3">
      <c r="A941" s="68" t="s">
        <v>1443</v>
      </c>
      <c r="B941" s="67" t="s">
        <v>1442</v>
      </c>
      <c r="C941" s="59" t="s">
        <v>1140</v>
      </c>
      <c r="D941" s="69">
        <v>4.2237927005399998</v>
      </c>
    </row>
    <row r="942" spans="1:4" ht="20.25" customHeight="1" x14ac:dyDescent="0.3">
      <c r="A942" s="68" t="s">
        <v>1445</v>
      </c>
      <c r="B942" s="67" t="s">
        <v>1444</v>
      </c>
      <c r="C942" s="59" t="s">
        <v>1140</v>
      </c>
      <c r="D942" s="69">
        <v>20.722480239999996</v>
      </c>
    </row>
    <row r="943" spans="1:4" ht="20.25" customHeight="1" x14ac:dyDescent="0.3">
      <c r="A943" s="68" t="s">
        <v>1447</v>
      </c>
      <c r="B943" s="67" t="s">
        <v>1446</v>
      </c>
      <c r="C943" s="59" t="s">
        <v>1140</v>
      </c>
      <c r="D943" s="69">
        <v>15.070894719999997</v>
      </c>
    </row>
    <row r="944" spans="1:4" ht="20.25" customHeight="1" x14ac:dyDescent="0.3">
      <c r="A944" s="68" t="s">
        <v>1449</v>
      </c>
      <c r="B944" s="67" t="s">
        <v>1448</v>
      </c>
      <c r="C944" s="59" t="s">
        <v>1140</v>
      </c>
      <c r="D944" s="69">
        <v>12.917909759999997</v>
      </c>
    </row>
    <row r="945" spans="1:4" ht="20.25" customHeight="1" x14ac:dyDescent="0.3">
      <c r="A945" s="68" t="s">
        <v>1451</v>
      </c>
      <c r="B945" s="67" t="s">
        <v>1450</v>
      </c>
      <c r="C945" s="59" t="s">
        <v>1140</v>
      </c>
      <c r="D945" s="69">
        <v>14.471076279659998</v>
      </c>
    </row>
    <row r="946" spans="1:4" ht="20.25" customHeight="1" x14ac:dyDescent="0.3">
      <c r="A946" s="68" t="s">
        <v>1453</v>
      </c>
      <c r="B946" s="67" t="s">
        <v>1452</v>
      </c>
      <c r="C946" s="59" t="s">
        <v>1140</v>
      </c>
      <c r="D946" s="69">
        <v>16.535830090779999</v>
      </c>
    </row>
    <row r="947" spans="1:4" ht="20.25" customHeight="1" x14ac:dyDescent="0.3">
      <c r="A947" s="68" t="s">
        <v>1455</v>
      </c>
      <c r="B947" s="67" t="s">
        <v>1454</v>
      </c>
      <c r="C947" s="59" t="s">
        <v>1140</v>
      </c>
      <c r="D947" s="69">
        <v>16.909621728999998</v>
      </c>
    </row>
    <row r="948" spans="1:4" ht="20.25" customHeight="1" x14ac:dyDescent="0.3">
      <c r="A948" s="68" t="s">
        <v>1457</v>
      </c>
      <c r="B948" s="67" t="s">
        <v>1456</v>
      </c>
      <c r="C948" s="59" t="s">
        <v>1140</v>
      </c>
      <c r="D948" s="69">
        <v>12.31732445944</v>
      </c>
    </row>
    <row r="949" spans="1:4" ht="20.25" customHeight="1" x14ac:dyDescent="0.3">
      <c r="A949" s="68" t="s">
        <v>1459</v>
      </c>
      <c r="B949" s="67" t="s">
        <v>1458</v>
      </c>
      <c r="C949" s="59" t="s">
        <v>1140</v>
      </c>
      <c r="D949" s="69">
        <v>10.679761092</v>
      </c>
    </row>
    <row r="950" spans="1:4" ht="20.25" customHeight="1" x14ac:dyDescent="0.3">
      <c r="A950" s="68" t="s">
        <v>1461</v>
      </c>
      <c r="B950" s="67" t="s">
        <v>1460</v>
      </c>
      <c r="C950" s="59" t="s">
        <v>1140</v>
      </c>
      <c r="D950" s="69">
        <v>8.8998009099999997</v>
      </c>
    </row>
    <row r="951" spans="1:4" ht="20.25" customHeight="1" x14ac:dyDescent="0.3">
      <c r="A951" s="68" t="s">
        <v>1463</v>
      </c>
      <c r="B951" s="67" t="s">
        <v>1462</v>
      </c>
      <c r="C951" s="59" t="s">
        <v>1140</v>
      </c>
      <c r="D951" s="69">
        <v>7.4402335607599994</v>
      </c>
    </row>
    <row r="952" spans="1:4" ht="20.25" customHeight="1" x14ac:dyDescent="0.3">
      <c r="A952" s="68" t="s">
        <v>1465</v>
      </c>
      <c r="B952" s="67" t="s">
        <v>1464</v>
      </c>
      <c r="C952" s="59" t="s">
        <v>1140</v>
      </c>
      <c r="D952" s="69">
        <v>5.7848705914999998</v>
      </c>
    </row>
    <row r="953" spans="1:4" ht="20.25" customHeight="1" x14ac:dyDescent="0.3">
      <c r="A953" s="68" t="s">
        <v>1467</v>
      </c>
      <c r="B953" s="67" t="s">
        <v>1466</v>
      </c>
      <c r="C953" s="59" t="s">
        <v>1140</v>
      </c>
      <c r="D953" s="69">
        <v>4.2185056313399993</v>
      </c>
    </row>
    <row r="954" spans="1:4" ht="20.25" customHeight="1" x14ac:dyDescent="0.3">
      <c r="A954" s="68" t="s">
        <v>1469</v>
      </c>
      <c r="B954" s="67" t="s">
        <v>1468</v>
      </c>
      <c r="C954" s="59" t="s">
        <v>1140</v>
      </c>
      <c r="D954" s="69">
        <v>2.6699402729999999</v>
      </c>
    </row>
    <row r="955" spans="1:4" ht="20.25" customHeight="1" x14ac:dyDescent="0.3">
      <c r="A955" s="68" t="s">
        <v>1471</v>
      </c>
      <c r="B955" s="70" t="s">
        <v>1470</v>
      </c>
      <c r="C955" s="59" t="s">
        <v>1140</v>
      </c>
      <c r="D955" s="69">
        <v>18.666864469439997</v>
      </c>
    </row>
    <row r="956" spans="1:4" ht="20.25" customHeight="1" x14ac:dyDescent="0.3">
      <c r="A956" s="68" t="s">
        <v>1473</v>
      </c>
      <c r="B956" s="70" t="s">
        <v>1472</v>
      </c>
      <c r="C956" s="59" t="s">
        <v>1140</v>
      </c>
      <c r="D956" s="69">
        <v>18.18046141296</v>
      </c>
    </row>
    <row r="957" spans="1:4" ht="20.25" customHeight="1" x14ac:dyDescent="0.3">
      <c r="A957" s="68" t="s">
        <v>1475</v>
      </c>
      <c r="B957" s="70" t="s">
        <v>1474</v>
      </c>
      <c r="C957" s="59" t="s">
        <v>1140</v>
      </c>
      <c r="D957" s="69">
        <v>16.014591199200002</v>
      </c>
    </row>
    <row r="958" spans="1:4" ht="20.25" customHeight="1" x14ac:dyDescent="0.3">
      <c r="A958" s="68" t="s">
        <v>1477</v>
      </c>
      <c r="B958" s="70" t="s">
        <v>1476</v>
      </c>
      <c r="C958" s="59" t="s">
        <v>1140</v>
      </c>
      <c r="D958" s="69">
        <v>14.867414179200001</v>
      </c>
    </row>
    <row r="959" spans="1:4" ht="20.25" customHeight="1" x14ac:dyDescent="0.3">
      <c r="A959" s="68" t="s">
        <v>1479</v>
      </c>
      <c r="B959" s="70" t="s">
        <v>1478</v>
      </c>
      <c r="C959" s="59" t="s">
        <v>1140</v>
      </c>
      <c r="D959" s="69">
        <v>13.76612424</v>
      </c>
    </row>
    <row r="960" spans="1:4" ht="20.25" customHeight="1" x14ac:dyDescent="0.3">
      <c r="A960" s="68" t="s">
        <v>1481</v>
      </c>
      <c r="B960" s="70" t="s">
        <v>1480</v>
      </c>
      <c r="C960" s="59" t="s">
        <v>1140</v>
      </c>
      <c r="D960" s="69">
        <v>18.35483232</v>
      </c>
    </row>
    <row r="961" spans="1:4" ht="20.25" customHeight="1" x14ac:dyDescent="0.3">
      <c r="A961" s="68" t="s">
        <v>1483</v>
      </c>
      <c r="B961" s="70" t="s">
        <v>1482</v>
      </c>
      <c r="C961" s="59" t="s">
        <v>1140</v>
      </c>
      <c r="D961" s="69">
        <v>17.914316344320003</v>
      </c>
    </row>
    <row r="962" spans="1:4" ht="20.25" customHeight="1" x14ac:dyDescent="0.3">
      <c r="A962" s="68" t="s">
        <v>1485</v>
      </c>
      <c r="B962" s="70" t="s">
        <v>1484</v>
      </c>
      <c r="C962" s="59" t="s">
        <v>1140</v>
      </c>
      <c r="D962" s="69">
        <v>18.20799366144</v>
      </c>
    </row>
    <row r="963" spans="1:4" ht="20.25" customHeight="1" x14ac:dyDescent="0.3">
      <c r="A963" s="68" t="s">
        <v>1487</v>
      </c>
      <c r="B963" s="70" t="s">
        <v>1486</v>
      </c>
      <c r="C963" s="59" t="s">
        <v>1140</v>
      </c>
      <c r="D963" s="69">
        <v>17.730768021119999</v>
      </c>
    </row>
    <row r="964" spans="1:4" ht="20.25" customHeight="1" x14ac:dyDescent="0.3">
      <c r="A964" s="68" t="s">
        <v>1489</v>
      </c>
      <c r="B964" s="70" t="s">
        <v>1488</v>
      </c>
      <c r="C964" s="59" t="s">
        <v>1140</v>
      </c>
      <c r="D964" s="69">
        <v>16.713826108979998</v>
      </c>
    </row>
    <row r="965" spans="1:4" ht="20.25" customHeight="1" x14ac:dyDescent="0.3">
      <c r="A965" s="68" t="s">
        <v>1491</v>
      </c>
      <c r="B965" s="70" t="s">
        <v>1490</v>
      </c>
      <c r="C965" s="59" t="s">
        <v>1140</v>
      </c>
      <c r="D965" s="69">
        <v>16.357834072580001</v>
      </c>
    </row>
    <row r="966" spans="1:4" ht="20.25" customHeight="1" x14ac:dyDescent="0.3">
      <c r="A966" s="68" t="s">
        <v>1493</v>
      </c>
      <c r="B966" s="70" t="s">
        <v>1492</v>
      </c>
      <c r="C966" s="59" t="s">
        <v>1140</v>
      </c>
      <c r="D966" s="69">
        <v>17.390210978140001</v>
      </c>
    </row>
    <row r="967" spans="1:4" ht="20.25" customHeight="1" x14ac:dyDescent="0.3">
      <c r="A967" s="68" t="s">
        <v>1495</v>
      </c>
      <c r="B967" s="70" t="s">
        <v>1494</v>
      </c>
      <c r="C967" s="59" t="s">
        <v>1140</v>
      </c>
      <c r="D967" s="69">
        <v>16.86512272445</v>
      </c>
    </row>
    <row r="968" spans="1:4" ht="20.25" customHeight="1" x14ac:dyDescent="0.3">
      <c r="A968" s="68" t="s">
        <v>1497</v>
      </c>
      <c r="B968" s="70" t="s">
        <v>1496</v>
      </c>
      <c r="C968" s="59" t="s">
        <v>1140</v>
      </c>
      <c r="D968" s="69">
        <v>16.197637656200001</v>
      </c>
    </row>
    <row r="969" spans="1:4" ht="20.25" customHeight="1" x14ac:dyDescent="0.3">
      <c r="A969" s="68" t="s">
        <v>1499</v>
      </c>
      <c r="B969" s="70" t="s">
        <v>1498</v>
      </c>
      <c r="C969" s="59" t="s">
        <v>1140</v>
      </c>
      <c r="D969" s="69">
        <v>15.752647610699999</v>
      </c>
    </row>
    <row r="970" spans="1:4" ht="20.25" customHeight="1" x14ac:dyDescent="0.3">
      <c r="A970" s="68" t="s">
        <v>1501</v>
      </c>
      <c r="B970" s="70" t="s">
        <v>1500</v>
      </c>
      <c r="C970" s="59" t="s">
        <v>1140</v>
      </c>
      <c r="D970" s="69">
        <v>15.788246814339999</v>
      </c>
    </row>
    <row r="971" spans="1:4" ht="20.25" customHeight="1" x14ac:dyDescent="0.3">
      <c r="A971" s="68" t="s">
        <v>1503</v>
      </c>
      <c r="B971" s="70" t="s">
        <v>1502</v>
      </c>
      <c r="C971" s="59" t="s">
        <v>1140</v>
      </c>
      <c r="D971" s="69">
        <v>15.414455176119999</v>
      </c>
    </row>
    <row r="972" spans="1:4" ht="20.25" customHeight="1" x14ac:dyDescent="0.3">
      <c r="A972" s="68" t="s">
        <v>1505</v>
      </c>
      <c r="B972" s="70" t="s">
        <v>1504</v>
      </c>
      <c r="C972" s="59" t="s">
        <v>1140</v>
      </c>
      <c r="D972" s="69">
        <v>10.123284906899997</v>
      </c>
    </row>
    <row r="973" spans="1:4" ht="20.25" customHeight="1" x14ac:dyDescent="0.3">
      <c r="A973" s="68" t="s">
        <v>1507</v>
      </c>
      <c r="B973" s="70" t="s">
        <v>1506</v>
      </c>
      <c r="C973" s="59" t="s">
        <v>1140</v>
      </c>
      <c r="D973" s="69">
        <v>8.8964232261299969</v>
      </c>
    </row>
    <row r="974" spans="1:4" ht="20.25" customHeight="1" x14ac:dyDescent="0.3">
      <c r="A974" s="68" t="s">
        <v>1509</v>
      </c>
      <c r="B974" s="70" t="s">
        <v>1508</v>
      </c>
      <c r="C974" s="59" t="s">
        <v>1140</v>
      </c>
      <c r="D974" s="69">
        <v>8.0986279255199971</v>
      </c>
    </row>
    <row r="975" spans="1:4" ht="20.25" customHeight="1" x14ac:dyDescent="0.3">
      <c r="A975" s="68" t="s">
        <v>1511</v>
      </c>
      <c r="B975" s="70" t="s">
        <v>1510</v>
      </c>
      <c r="C975" s="59" t="s">
        <v>1140</v>
      </c>
      <c r="D975" s="69">
        <v>7.2874243005299988</v>
      </c>
    </row>
    <row r="976" spans="1:4" ht="20.25" customHeight="1" x14ac:dyDescent="0.3">
      <c r="A976" s="68" t="s">
        <v>1513</v>
      </c>
      <c r="B976" s="67" t="s">
        <v>1512</v>
      </c>
      <c r="C976" s="59" t="s">
        <v>1140</v>
      </c>
      <c r="D976" s="69">
        <v>14.996164533349999</v>
      </c>
    </row>
    <row r="977" spans="1:4" ht="17.399999999999999" x14ac:dyDescent="0.3">
      <c r="A977" s="73" t="s">
        <v>1084</v>
      </c>
      <c r="B977" s="78" t="s">
        <v>1514</v>
      </c>
      <c r="C977" s="77" t="s">
        <v>1084</v>
      </c>
      <c r="D977" s="79">
        <v>1000</v>
      </c>
    </row>
    <row r="991" spans="1:4" x14ac:dyDescent="0.25">
      <c r="A991" s="72"/>
      <c r="B991" s="71"/>
      <c r="C991" s="71"/>
      <c r="D991" s="71"/>
    </row>
    <row r="992" spans="1:4" x14ac:dyDescent="0.25">
      <c r="A992" s="72"/>
      <c r="B992" s="71"/>
      <c r="C992" s="71"/>
      <c r="D992" s="71"/>
    </row>
    <row r="993" spans="1:4" x14ac:dyDescent="0.25">
      <c r="A993" s="72"/>
      <c r="B993" s="71"/>
      <c r="C993" s="71"/>
      <c r="D993" s="71"/>
    </row>
    <row r="994" spans="1:4" x14ac:dyDescent="0.25">
      <c r="A994" s="72"/>
      <c r="B994" s="71"/>
      <c r="C994" s="71"/>
      <c r="D994" s="71"/>
    </row>
    <row r="995" spans="1:4" x14ac:dyDescent="0.25">
      <c r="A995" s="72"/>
      <c r="B995" s="71"/>
      <c r="C995" s="71"/>
      <c r="D995" s="71"/>
    </row>
    <row r="996" spans="1:4" ht="13.35" customHeight="1" x14ac:dyDescent="0.25">
      <c r="A996" s="75"/>
      <c r="B996" s="75"/>
      <c r="C996" s="71"/>
      <c r="D996" s="75"/>
    </row>
    <row r="997" spans="1:4" ht="13.35" customHeight="1" x14ac:dyDescent="0.25">
      <c r="A997" s="75"/>
      <c r="B997" s="75"/>
      <c r="C997" s="71"/>
      <c r="D997" s="75"/>
    </row>
    <row r="998" spans="1:4" x14ac:dyDescent="0.25">
      <c r="A998" s="72"/>
      <c r="B998" s="71"/>
      <c r="C998" s="71"/>
      <c r="D998" s="71"/>
    </row>
    <row r="999" spans="1:4" x14ac:dyDescent="0.25">
      <c r="A999" s="72"/>
      <c r="B999" s="71"/>
      <c r="C999" s="71"/>
      <c r="D999" s="71"/>
    </row>
    <row r="1000" spans="1:4" ht="12.75" customHeight="1" x14ac:dyDescent="0.25">
      <c r="A1000" s="76"/>
      <c r="B1000" s="76"/>
      <c r="C1000" s="71"/>
      <c r="D1000" s="76"/>
    </row>
    <row r="1001" spans="1:4" ht="12.75" customHeight="1" x14ac:dyDescent="0.25">
      <c r="A1001" s="76"/>
      <c r="B1001" s="76"/>
      <c r="C1001" s="71"/>
      <c r="D1001" s="76"/>
    </row>
    <row r="1002" spans="1:4" x14ac:dyDescent="0.25">
      <c r="A1002" s="72"/>
      <c r="B1002" s="71"/>
      <c r="C1002" s="71"/>
      <c r="D1002" s="71"/>
    </row>
    <row r="1003" spans="1:4" ht="13.35" customHeight="1" x14ac:dyDescent="0.25">
      <c r="A1003" s="76"/>
      <c r="B1003" s="76"/>
      <c r="C1003" s="71"/>
      <c r="D1003" s="76"/>
    </row>
    <row r="1004" spans="1:4" ht="13.35" customHeight="1" x14ac:dyDescent="0.25">
      <c r="A1004" s="76"/>
      <c r="B1004" s="76"/>
      <c r="C1004" s="71"/>
      <c r="D1004" s="76"/>
    </row>
    <row r="1005" spans="1:4" x14ac:dyDescent="0.25">
      <c r="A1005" s="72"/>
      <c r="B1005" s="71"/>
      <c r="C1005" s="71"/>
      <c r="D1005" s="71"/>
    </row>
    <row r="1006" spans="1:4" x14ac:dyDescent="0.25">
      <c r="A1006" s="72"/>
      <c r="B1006" s="71"/>
      <c r="C1006" s="71"/>
      <c r="D1006" s="71"/>
    </row>
    <row r="1007" spans="1:4" x14ac:dyDescent="0.25">
      <c r="A1007" s="72"/>
      <c r="B1007" s="71"/>
      <c r="C1007" s="71"/>
      <c r="D1007" s="71"/>
    </row>
    <row r="1008" spans="1:4" x14ac:dyDescent="0.25">
      <c r="A1008" s="72"/>
      <c r="B1008" s="71"/>
      <c r="C1008" s="71"/>
      <c r="D1008" s="71"/>
    </row>
    <row r="1009" spans="1:4" x14ac:dyDescent="0.25">
      <c r="A1009" s="72"/>
      <c r="B1009" s="71"/>
      <c r="C1009" s="71"/>
      <c r="D1009" s="71"/>
    </row>
    <row r="1010" spans="1:4" x14ac:dyDescent="0.25">
      <c r="A1010" s="72"/>
      <c r="B1010" s="71"/>
      <c r="C1010" s="71"/>
      <c r="D1010" s="71"/>
    </row>
    <row r="1011" spans="1:4" x14ac:dyDescent="0.25">
      <c r="A1011" s="72"/>
      <c r="B1011" s="71"/>
      <c r="C1011" s="71"/>
      <c r="D1011" s="71"/>
    </row>
    <row r="1012" spans="1:4" x14ac:dyDescent="0.25">
      <c r="A1012" s="72"/>
      <c r="B1012" s="71"/>
      <c r="C1012" s="71"/>
      <c r="D1012" s="71"/>
    </row>
  </sheetData>
  <autoFilter ref="A1:D977"/>
  <printOptions horizontalCentered="1" verticalCentered="1"/>
  <pageMargins left="0" right="0" top="0" bottom="0" header="0" footer="0.27559055118110237"/>
  <pageSetup paperSize="9" scale="40" orientation="portrait" blackAndWhite="1" r:id="rId1"/>
  <headerFooter alignWithMargins="0">
    <oddFooter>&amp;LPage &amp;P of &amp;N&amp;CFile Name: &amp;F / &amp;A</oddFooter>
  </headerFooter>
  <rowBreaks count="1" manualBreakCount="1">
    <brk id="316" min="2" max="3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</vt:lpstr>
      <vt:lpstr>Month!Print_Area</vt:lpstr>
      <vt:lpstr>Month!Print_Titles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Acer</cp:lastModifiedBy>
  <dcterms:created xsi:type="dcterms:W3CDTF">2026-02-27T11:47:06Z</dcterms:created>
  <dcterms:modified xsi:type="dcterms:W3CDTF">2026-03-30T06:17:13Z</dcterms:modified>
</cp:coreProperties>
</file>